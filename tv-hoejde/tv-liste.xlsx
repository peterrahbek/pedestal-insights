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-listen" sheetId="1" state="visible" r:id="rId1"/>
    <sheet name="Om listen" sheetId="2" state="visible" r:id="rId2"/>
  </sheets>
  <definedNames>
    <definedName name="_xlnm._FilterDatabase" localSheetId="0" hidden="1">'Tv-listen'!$A$1:$N$803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E7E5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34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16" customWidth="1" min="12" max="12"/>
    <col width="16" customWidth="1" min="13" max="13"/>
    <col width="110" customWidth="1" min="14" max="14"/>
  </cols>
  <sheetData>
    <row r="1" ht="42" customHeight="1">
      <c r="A1" s="1" t="inlineStr">
        <is>
          <t>Mærke</t>
        </is>
      </c>
      <c r="B1" s="1" t="inlineStr">
        <is>
          <t>Serie</t>
        </is>
      </c>
      <c r="C1" s="1" t="inlineStr">
        <is>
          <t>Navn</t>
        </is>
      </c>
      <c r="D1" s="1" t="inlineStr">
        <is>
          <t>Modelkoder</t>
        </is>
      </c>
      <c r="E1" s="1" t="inlineStr">
        <is>
          <t>Tommer</t>
        </is>
      </c>
      <c r="F1" s="1" t="inlineStr">
        <is>
          <t>Årgang</t>
        </is>
      </c>
      <c r="G1" s="1" t="inlineStr">
        <is>
          <t>Højde (cm)</t>
        </is>
      </c>
      <c r="H1" s="1" t="inlineStr">
        <is>
          <t>VESA bredde (mm)</t>
        </is>
      </c>
      <c r="I1" s="1" t="inlineStr">
        <is>
          <t>VESA højde (mm)</t>
        </is>
      </c>
      <c r="J1" s="1" t="inlineStr">
        <is>
          <t>Nederste hul over underkant (cm)</t>
        </is>
      </c>
      <c r="K1" s="1" t="inlineStr">
        <is>
          <t>Øverste hul over underkant (cm)</t>
        </is>
      </c>
      <c r="L1" s="1" t="inlineStr">
        <is>
          <t>Kildetype</t>
        </is>
      </c>
      <c r="M1" s="1" t="inlineStr">
        <is>
          <t>Kilde</t>
        </is>
      </c>
      <c r="N1" s="1" t="inlineStr">
        <is>
          <t>Kildetekst</t>
        </is>
      </c>
    </row>
    <row r="2">
      <c r="A2" s="2" t="inlineStr">
        <is>
          <t>Hisense</t>
        </is>
      </c>
      <c r="B2" s="2" t="inlineStr">
        <is>
          <t>E7KQ</t>
        </is>
      </c>
      <c r="C2" s="2" t="inlineStr">
        <is>
          <t>E7KQ (2023)</t>
        </is>
      </c>
      <c r="D2" s="2" t="inlineStr">
        <is>
          <t>43E7KQ, 43E7KQTUK</t>
        </is>
      </c>
      <c r="E2" s="3" t="n">
        <v>43</v>
      </c>
      <c r="F2" s="3" t="n">
        <v>2023</v>
      </c>
      <c r="G2" s="4" t="n">
        <v>56</v>
      </c>
      <c r="H2" s="3" t="n">
        <v>200</v>
      </c>
      <c r="I2" s="3" t="n">
        <v>300</v>
      </c>
      <c r="J2" s="4" t="n">
        <v>12</v>
      </c>
      <c r="K2" s="4">
        <f>IF(ISNUMBER(J2),J2+I2/10,"")</f>
        <v/>
      </c>
      <c r="L2" s="2" t="inlineStr">
        <is>
          <t>kundemålt</t>
        </is>
      </c>
      <c r="M2" s="2" t="inlineStr"/>
      <c r="N2" s="2" t="inlineStr">
        <is>
          <t>Kollegamålt 24/9-2026: VESA 200×300 mm, nederste hul 12 cm fra underkant. Højden 56 cm er anslået ud fra 43″, ikke målt.</t>
        </is>
      </c>
    </row>
    <row r="3">
      <c r="A3" s="2" t="inlineStr">
        <is>
          <t>LG</t>
        </is>
      </c>
      <c r="B3" s="2" t="inlineStr">
        <is>
          <t>LR65</t>
        </is>
      </c>
      <c r="C3" s="2" t="inlineStr">
        <is>
          <t>LR65 (2023)</t>
        </is>
      </c>
      <c r="D3" s="2" t="inlineStr">
        <is>
          <t>LG LR65 32″ 2023</t>
        </is>
      </c>
      <c r="E3" s="3" t="n">
        <v>32</v>
      </c>
      <c r="F3" s="3" t="n">
        <v>2023</v>
      </c>
      <c r="G3" s="4" t="n">
        <v>42.8</v>
      </c>
      <c r="H3" s="3" t="n">
        <v>200</v>
      </c>
      <c r="I3" s="3" t="n">
        <v>200</v>
      </c>
      <c r="J3" s="4" t="n">
        <v>11.1</v>
      </c>
      <c r="K3" s="4">
        <f>IF(ISNUMBER(J3),J3+I3/10,"")</f>
        <v/>
      </c>
      <c r="L3" s="2" t="inlineStr">
        <is>
          <t>producentens mål</t>
        </is>
      </c>
      <c r="M3" s="2" t="inlineStr">
        <is>
          <t>LG-tegning 2023</t>
        </is>
      </c>
      <c r="N3" s="2" t="inlineStr">
        <is>
          <t>LG's officielle bagside-tegning 2023: X1 = 111 mm. Højden er regnet som X1 + VESA + W (ca. 1 cm usikkerhed).</t>
        </is>
      </c>
    </row>
    <row r="4">
      <c r="A4" s="2" t="inlineStr">
        <is>
          <t>LG</t>
        </is>
      </c>
      <c r="B4" s="2" t="inlineStr">
        <is>
          <t>NANO73/NANO75/NANO77</t>
        </is>
      </c>
      <c r="C4" s="2" t="inlineStr">
        <is>
          <t>NANO73/NANO75/NANO77 (2023)</t>
        </is>
      </c>
      <c r="D4" s="2" t="inlineStr">
        <is>
          <t>LG NANO73/NANO75/NANO77 86″ 2023</t>
        </is>
      </c>
      <c r="E4" s="3" t="n">
        <v>86</v>
      </c>
      <c r="F4" s="3" t="n">
        <v>2023</v>
      </c>
      <c r="G4" s="4" t="n">
        <v>110.2</v>
      </c>
      <c r="H4" s="3" t="n">
        <v>600</v>
      </c>
      <c r="I4" s="3" t="n">
        <v>400</v>
      </c>
      <c r="J4" s="4" t="n">
        <v>27</v>
      </c>
      <c r="K4" s="4">
        <f>IF(ISNUMBER(J4),J4+I4/10,"")</f>
        <v/>
      </c>
      <c r="L4" s="2" t="inlineStr">
        <is>
          <t>producentens mål</t>
        </is>
      </c>
      <c r="M4" s="2" t="inlineStr">
        <is>
          <t>LG-tegning 2023</t>
        </is>
      </c>
      <c r="N4" s="2" t="inlineStr">
        <is>
          <t>LG's officielle bagside-tegning 2023: X1 = 270 mm. Højden er regnet som X1 + VESA + W (ca. 1 cm usikkerhed).</t>
        </is>
      </c>
    </row>
    <row r="5">
      <c r="A5" s="2" t="inlineStr">
        <is>
          <t>LG</t>
        </is>
      </c>
      <c r="B5" s="2" t="inlineStr">
        <is>
          <t>NANO73/NANO75/NANO77</t>
        </is>
      </c>
      <c r="C5" s="2" t="inlineStr">
        <is>
          <t>NANO73/NANO75/NANO77 (2023)</t>
        </is>
      </c>
      <c r="D5" s="2" t="inlineStr">
        <is>
          <t>LG NANO73/NANO75/NANO77 75″ 2023</t>
        </is>
      </c>
      <c r="E5" s="3" t="n">
        <v>75</v>
      </c>
      <c r="F5" s="3" t="n">
        <v>2023</v>
      </c>
      <c r="G5" s="4" t="n">
        <v>96.2</v>
      </c>
      <c r="H5" s="3" t="n">
        <v>400</v>
      </c>
      <c r="I5" s="3" t="n">
        <v>400</v>
      </c>
      <c r="J5" s="4" t="n">
        <v>27.7</v>
      </c>
      <c r="K5" s="4">
        <f>IF(ISNUMBER(J5),J5+I5/10,"")</f>
        <v/>
      </c>
      <c r="L5" s="2" t="inlineStr">
        <is>
          <t>producentens mål</t>
        </is>
      </c>
      <c r="M5" s="2" t="inlineStr">
        <is>
          <t>LG-tegning 2023</t>
        </is>
      </c>
      <c r="N5" s="2" t="inlineStr">
        <is>
          <t>LG's officielle bagside-tegning 2023: X1 = 277 mm. Højden er regnet som X1 + VESA + W (ca. 1 cm usikkerhed).</t>
        </is>
      </c>
    </row>
    <row r="6">
      <c r="A6" s="2" t="inlineStr">
        <is>
          <t>LG</t>
        </is>
      </c>
      <c r="B6" s="2" t="inlineStr">
        <is>
          <t>NANO73/NANO75/NANO77</t>
        </is>
      </c>
      <c r="C6" s="2" t="inlineStr">
        <is>
          <t>NANO73/NANO75/NANO77 (2023)</t>
        </is>
      </c>
      <c r="D6" s="2" t="inlineStr">
        <is>
          <t>LG NANO73/NANO75/NANO77 70″ 2023</t>
        </is>
      </c>
      <c r="E6" s="3" t="n">
        <v>70</v>
      </c>
      <c r="F6" s="3" t="n">
        <v>2023</v>
      </c>
      <c r="G6" s="4" t="n">
        <v>90.5</v>
      </c>
      <c r="H6" s="3" t="n">
        <v>400</v>
      </c>
      <c r="I6" s="3" t="n">
        <v>400</v>
      </c>
      <c r="J6" s="4" t="n">
        <v>24</v>
      </c>
      <c r="K6" s="4">
        <f>IF(ISNUMBER(J6),J6+I6/10,"")</f>
        <v/>
      </c>
      <c r="L6" s="2" t="inlineStr">
        <is>
          <t>producentens mål</t>
        </is>
      </c>
      <c r="M6" s="2" t="inlineStr">
        <is>
          <t>LG-tegning 2023</t>
        </is>
      </c>
      <c r="N6" s="2" t="inlineStr">
        <is>
          <t>LG's officielle bagside-tegning 2023: X1 = 240 mm. Højden er regnet som X1 + VESA + W (ca. 1 cm usikkerhed).</t>
        </is>
      </c>
    </row>
    <row r="7">
      <c r="A7" s="2" t="inlineStr">
        <is>
          <t>LG</t>
        </is>
      </c>
      <c r="B7" s="2" t="inlineStr">
        <is>
          <t>NANO73/NANO75/NANO77</t>
        </is>
      </c>
      <c r="C7" s="2" t="inlineStr">
        <is>
          <t>NANO73/NANO75/NANO77 (2023)</t>
        </is>
      </c>
      <c r="D7" s="2" t="inlineStr">
        <is>
          <t>LG NANO73/NANO75/NANO77 65″ 2023</t>
        </is>
      </c>
      <c r="E7" s="3" t="n">
        <v>65</v>
      </c>
      <c r="F7" s="3" t="n">
        <v>2023</v>
      </c>
      <c r="G7" s="4" t="n">
        <v>83.5</v>
      </c>
      <c r="H7" s="3" t="n">
        <v>300</v>
      </c>
      <c r="I7" s="3" t="n">
        <v>300</v>
      </c>
      <c r="J7" s="4" t="n">
        <v>15.9</v>
      </c>
      <c r="K7" s="4">
        <f>IF(ISNUMBER(J7),J7+I7/10,"")</f>
        <v/>
      </c>
      <c r="L7" s="2" t="inlineStr">
        <is>
          <t>producentens mål</t>
        </is>
      </c>
      <c r="M7" s="2" t="inlineStr">
        <is>
          <t>LG-tegning 2023</t>
        </is>
      </c>
      <c r="N7" s="2" t="inlineStr">
        <is>
          <t>LG's officielle bagside-tegning 2023: X1 = 159 mm. Højden er regnet som X1 + VESA + W (ca. 1 cm usikkerhed).</t>
        </is>
      </c>
    </row>
    <row r="8">
      <c r="A8" s="2" t="inlineStr">
        <is>
          <t>LG</t>
        </is>
      </c>
      <c r="B8" s="2" t="inlineStr">
        <is>
          <t>NANO73/NANO75/NANO77</t>
        </is>
      </c>
      <c r="C8" s="2" t="inlineStr">
        <is>
          <t>NANO73/NANO75/NANO77 (2023)</t>
        </is>
      </c>
      <c r="D8" s="2" t="inlineStr">
        <is>
          <t>LG NANO73/NANO75/NANO77 55″ 2023</t>
        </is>
      </c>
      <c r="E8" s="3" t="n">
        <v>55</v>
      </c>
      <c r="F8" s="3" t="n">
        <v>2023</v>
      </c>
      <c r="G8" s="4" t="n">
        <v>71.2</v>
      </c>
      <c r="H8" s="3" t="n">
        <v>300</v>
      </c>
      <c r="I8" s="3" t="n">
        <v>300</v>
      </c>
      <c r="J8" s="4" t="n">
        <v>15.9</v>
      </c>
      <c r="K8" s="4">
        <f>IF(ISNUMBER(J8),J8+I8/10,"")</f>
        <v/>
      </c>
      <c r="L8" s="2" t="inlineStr">
        <is>
          <t>producentens mål</t>
        </is>
      </c>
      <c r="M8" s="2" t="inlineStr">
        <is>
          <t>LG-tegning 2023</t>
        </is>
      </c>
      <c r="N8" s="2" t="inlineStr">
        <is>
          <t>LG's officielle bagside-tegning 2023: X1 = 159 mm. Højden er regnet som X1 + VESA + W (ca. 1 cm usikkerhed).</t>
        </is>
      </c>
    </row>
    <row r="9">
      <c r="A9" s="2" t="inlineStr">
        <is>
          <t>LG</t>
        </is>
      </c>
      <c r="B9" s="2" t="inlineStr">
        <is>
          <t>NANO73/NANO75/NANO77</t>
        </is>
      </c>
      <c r="C9" s="2" t="inlineStr">
        <is>
          <t>NANO73/NANO75/NANO77 (2023)</t>
        </is>
      </c>
      <c r="D9" s="2" t="inlineStr">
        <is>
          <t>LG NANO73/NANO75/NANO77 50″ 2023</t>
        </is>
      </c>
      <c r="E9" s="3" t="n">
        <v>50</v>
      </c>
      <c r="F9" s="3" t="n">
        <v>2023</v>
      </c>
      <c r="G9" s="4" t="n">
        <v>64.90000000000001</v>
      </c>
      <c r="H9" s="3" t="n">
        <v>200</v>
      </c>
      <c r="I9" s="3" t="n">
        <v>200</v>
      </c>
      <c r="J9" s="4" t="n">
        <v>22.5</v>
      </c>
      <c r="K9" s="4">
        <f>IF(ISNUMBER(J9),J9+I9/10,"")</f>
        <v/>
      </c>
      <c r="L9" s="2" t="inlineStr">
        <is>
          <t>producentens mål</t>
        </is>
      </c>
      <c r="M9" s="2" t="inlineStr">
        <is>
          <t>LG-tegning 2023</t>
        </is>
      </c>
      <c r="N9" s="2" t="inlineStr">
        <is>
          <t>LG's officielle bagside-tegning 2023: X1 = 225 mm. Højden er regnet som X1 + VESA + W (ca. 1 cm usikkerhed).</t>
        </is>
      </c>
    </row>
    <row r="10">
      <c r="A10" s="2" t="inlineStr">
        <is>
          <t>LG</t>
        </is>
      </c>
      <c r="B10" s="2" t="inlineStr">
        <is>
          <t>NANO73/NANO75/NANO77</t>
        </is>
      </c>
      <c r="C10" s="2" t="inlineStr">
        <is>
          <t>NANO73/NANO75/NANO77 (2023)</t>
        </is>
      </c>
      <c r="D10" s="2" t="inlineStr">
        <is>
          <t>LG NANO73/NANO75/NANO77 43″ 2023</t>
        </is>
      </c>
      <c r="E10" s="3" t="n">
        <v>43</v>
      </c>
      <c r="F10" s="3" t="n">
        <v>2023</v>
      </c>
      <c r="G10" s="4" t="n">
        <v>56.2</v>
      </c>
      <c r="H10" s="3" t="n">
        <v>200</v>
      </c>
      <c r="I10" s="3" t="n">
        <v>200</v>
      </c>
      <c r="J10" s="4" t="n">
        <v>21.3</v>
      </c>
      <c r="K10" s="4">
        <f>IF(ISNUMBER(J10),J10+I10/10,"")</f>
        <v/>
      </c>
      <c r="L10" s="2" t="inlineStr">
        <is>
          <t>producentens mål</t>
        </is>
      </c>
      <c r="M10" s="2" t="inlineStr">
        <is>
          <t>LG-tegning 2023</t>
        </is>
      </c>
      <c r="N10" s="2" t="inlineStr">
        <is>
          <t>LG's officielle bagside-tegning 2023: X1 = 213 mm. Højden er regnet som X1 + VESA + W (ca. 1 cm usikkerhed).</t>
        </is>
      </c>
    </row>
    <row r="11">
      <c r="A11" s="2" t="inlineStr">
        <is>
          <t>LG</t>
        </is>
      </c>
      <c r="B11" s="2" t="inlineStr">
        <is>
          <t>NANO75</t>
        </is>
      </c>
      <c r="C11" s="2" t="inlineStr">
        <is>
          <t>NanoCell 4K NANO75</t>
        </is>
      </c>
      <c r="D11" s="2" t="inlineStr">
        <is>
          <t>55NANO756QA, 55NANO759QA, 55NANO756QC</t>
        </is>
      </c>
      <c r="E11" s="3" t="n">
        <v>55</v>
      </c>
      <c r="F11" s="3" t="n">
        <v>2022</v>
      </c>
      <c r="G11" s="4" t="n">
        <v>70.5</v>
      </c>
      <c r="H11" s="3" t="n">
        <v>300</v>
      </c>
      <c r="I11" s="3" t="n">
        <v>300</v>
      </c>
      <c r="J11" s="4" t="n"/>
      <c r="K11" s="4">
        <f>IF(ISNUMBER(J11),J11+I11/10,"")</f>
        <v/>
      </c>
      <c r="L11" s="2" t="inlineStr">
        <is>
          <t>estimat</t>
        </is>
      </c>
      <c r="M11" s="2" t="inlineStr"/>
      <c r="N11" s="2" t="inlineStr"/>
    </row>
    <row r="12">
      <c r="A12" s="2" t="inlineStr">
        <is>
          <t>LG</t>
        </is>
      </c>
      <c r="B12" s="2" t="inlineStr">
        <is>
          <t>NANO76</t>
        </is>
      </c>
      <c r="C12" s="2" t="inlineStr">
        <is>
          <t>NANO76</t>
        </is>
      </c>
      <c r="D12" s="2" t="inlineStr">
        <is>
          <t>86NANO766QA, 86NANO769QA</t>
        </is>
      </c>
      <c r="E12" s="3" t="n">
        <v>86</v>
      </c>
      <c r="F12" s="3" t="n">
        <v>2022</v>
      </c>
      <c r="G12" s="4" t="n">
        <v>110.4</v>
      </c>
      <c r="H12" s="3" t="n">
        <v>600</v>
      </c>
      <c r="I12" s="3" t="n">
        <v>400</v>
      </c>
      <c r="J12" s="4" t="n"/>
      <c r="K12" s="4">
        <f>IF(ISNUMBER(J12),J12+I12/10,"")</f>
        <v/>
      </c>
      <c r="L12" s="2" t="inlineStr">
        <is>
          <t>estimat</t>
        </is>
      </c>
      <c r="M12" s="2" t="inlineStr"/>
      <c r="N12" s="2" t="inlineStr"/>
    </row>
    <row r="13">
      <c r="A13" s="2" t="inlineStr">
        <is>
          <t>LG</t>
        </is>
      </c>
      <c r="B13" s="2" t="inlineStr">
        <is>
          <t>NANO76</t>
        </is>
      </c>
      <c r="C13" s="2" t="inlineStr">
        <is>
          <t>NANO76</t>
        </is>
      </c>
      <c r="D13" s="2" t="inlineStr">
        <is>
          <t>75NANO766QA, 75NANO769QA</t>
        </is>
      </c>
      <c r="E13" s="3" t="n">
        <v>75</v>
      </c>
      <c r="F13" s="3" t="n">
        <v>2022</v>
      </c>
      <c r="G13" s="4" t="n">
        <v>96.40000000000001</v>
      </c>
      <c r="H13" s="3" t="n">
        <v>400</v>
      </c>
      <c r="I13" s="3" t="n">
        <v>400</v>
      </c>
      <c r="J13" s="4" t="n"/>
      <c r="K13" s="4">
        <f>IF(ISNUMBER(J13),J13+I13/10,"")</f>
        <v/>
      </c>
      <c r="L13" s="2" t="inlineStr">
        <is>
          <t>estimat</t>
        </is>
      </c>
      <c r="M13" s="2" t="inlineStr"/>
      <c r="N13" s="2" t="inlineStr"/>
    </row>
    <row r="14">
      <c r="A14" s="2" t="inlineStr">
        <is>
          <t>LG</t>
        </is>
      </c>
      <c r="B14" s="2" t="inlineStr">
        <is>
          <t>NANO76</t>
        </is>
      </c>
      <c r="C14" s="2" t="inlineStr">
        <is>
          <t>NANO76</t>
        </is>
      </c>
      <c r="D14" s="2" t="inlineStr">
        <is>
          <t>65NANO766QA, 65NANO769QA</t>
        </is>
      </c>
      <c r="E14" s="3" t="n">
        <v>65</v>
      </c>
      <c r="F14" s="3" t="n">
        <v>2022</v>
      </c>
      <c r="G14" s="4" t="n">
        <v>83.8</v>
      </c>
      <c r="H14" s="3" t="n">
        <v>300</v>
      </c>
      <c r="I14" s="3" t="n">
        <v>300</v>
      </c>
      <c r="J14" s="4" t="n"/>
      <c r="K14" s="4">
        <f>IF(ISNUMBER(J14),J14+I14/10,"")</f>
        <v/>
      </c>
      <c r="L14" s="2" t="inlineStr">
        <is>
          <t>estimat</t>
        </is>
      </c>
      <c r="M14" s="2" t="inlineStr"/>
      <c r="N14" s="2" t="inlineStr"/>
    </row>
    <row r="15">
      <c r="A15" s="2" t="inlineStr">
        <is>
          <t>LG</t>
        </is>
      </c>
      <c r="B15" s="2" t="inlineStr">
        <is>
          <t>NANO76</t>
        </is>
      </c>
      <c r="C15" s="2" t="inlineStr">
        <is>
          <t>NANO76</t>
        </is>
      </c>
      <c r="D15" s="2" t="inlineStr">
        <is>
          <t>55NANO766QA, 55NANO766QA--BUNDLE1, 55NANO769QA, 55NANO766QA--BUNDLE</t>
        </is>
      </c>
      <c r="E15" s="3" t="n">
        <v>55</v>
      </c>
      <c r="F15" s="3" t="n">
        <v>2022</v>
      </c>
      <c r="G15" s="4" t="n">
        <v>71.5</v>
      </c>
      <c r="H15" s="3" t="n">
        <v>300</v>
      </c>
      <c r="I15" s="3" t="n">
        <v>300</v>
      </c>
      <c r="J15" s="4" t="n">
        <v>15.8</v>
      </c>
      <c r="K15" s="4">
        <f>IF(ISNUMBER(J15),J15+I15/10,"")</f>
        <v/>
      </c>
      <c r="L15" s="2" t="inlineStr">
        <is>
          <t>billedmålt</t>
        </is>
      </c>
      <c r="M15" s="2" t="inlineStr">
        <is>
          <t>LG</t>
        </is>
      </c>
      <c r="N15" s="2" t="inlineStr">
        <is>
          <t>Billedmålt på LG-foto: nederste VESA-hul 15,8 cm fra underkant, målt ud fra VESA 300×300 som skala. Usikkerhed ca. ±1 cm.</t>
        </is>
      </c>
    </row>
    <row r="16">
      <c r="A16" s="2" t="inlineStr">
        <is>
          <t>LG</t>
        </is>
      </c>
      <c r="B16" s="2" t="inlineStr">
        <is>
          <t>NANO76</t>
        </is>
      </c>
      <c r="C16" s="2" t="inlineStr">
        <is>
          <t>NANO76</t>
        </is>
      </c>
      <c r="D16" s="2" t="inlineStr">
        <is>
          <t>50NANO766QA, 50NANO769QA</t>
        </is>
      </c>
      <c r="E16" s="3" t="n">
        <v>50</v>
      </c>
      <c r="F16" s="3" t="n">
        <v>2022</v>
      </c>
      <c r="G16" s="4" t="n">
        <v>65.09999999999999</v>
      </c>
      <c r="H16" s="3" t="n">
        <v>200</v>
      </c>
      <c r="I16" s="3" t="n">
        <v>200</v>
      </c>
      <c r="J16" s="4" t="n"/>
      <c r="K16" s="4">
        <f>IF(ISNUMBER(J16),J16+I16/10,"")</f>
        <v/>
      </c>
      <c r="L16" s="2" t="inlineStr">
        <is>
          <t>estimat</t>
        </is>
      </c>
      <c r="M16" s="2" t="inlineStr"/>
      <c r="N16" s="2" t="inlineStr"/>
    </row>
    <row r="17">
      <c r="A17" s="2" t="inlineStr">
        <is>
          <t>LG</t>
        </is>
      </c>
      <c r="B17" s="2" t="inlineStr">
        <is>
          <t>NANO76</t>
        </is>
      </c>
      <c r="C17" s="2" t="inlineStr">
        <is>
          <t>NANO76</t>
        </is>
      </c>
      <c r="D17" s="2" t="inlineStr">
        <is>
          <t>43NANO766QA, 43NANO769QA</t>
        </is>
      </c>
      <c r="E17" s="3" t="n">
        <v>43</v>
      </c>
      <c r="F17" s="3" t="n">
        <v>2022</v>
      </c>
      <c r="G17" s="4" t="n">
        <v>56.4</v>
      </c>
      <c r="H17" s="3" t="n">
        <v>200</v>
      </c>
      <c r="I17" s="3" t="n">
        <v>200</v>
      </c>
      <c r="J17" s="4" t="n"/>
      <c r="K17" s="4">
        <f>IF(ISNUMBER(J17),J17+I17/10,"")</f>
        <v/>
      </c>
      <c r="L17" s="2" t="inlineStr">
        <is>
          <t>estimat</t>
        </is>
      </c>
      <c r="M17" s="2" t="inlineStr"/>
      <c r="N17" s="2" t="inlineStr"/>
    </row>
    <row r="18">
      <c r="A18" s="2" t="inlineStr">
        <is>
          <t>LG</t>
        </is>
      </c>
      <c r="B18" s="2" t="inlineStr">
        <is>
          <t>NANO80</t>
        </is>
      </c>
      <c r="C18" s="2" t="inlineStr">
        <is>
          <t>NANO80</t>
        </is>
      </c>
      <c r="D18" s="2" t="inlineStr">
        <is>
          <t>75NANO80A6B</t>
        </is>
      </c>
      <c r="E18" s="3" t="n">
        <v>75</v>
      </c>
      <c r="F18" s="3" t="n">
        <v>2026</v>
      </c>
      <c r="G18" s="4" t="n">
        <v>96.40000000000001</v>
      </c>
      <c r="H18" s="3" t="n">
        <v>400</v>
      </c>
      <c r="I18" s="3" t="n">
        <v>400</v>
      </c>
      <c r="J18" s="4" t="n"/>
      <c r="K18" s="4">
        <f>IF(ISNUMBER(J18),J18+I18/10,"")</f>
        <v/>
      </c>
      <c r="L18" s="2" t="inlineStr">
        <is>
          <t>estimat</t>
        </is>
      </c>
      <c r="M18" s="2" t="inlineStr"/>
      <c r="N18" s="2" t="inlineStr"/>
    </row>
    <row r="19">
      <c r="A19" s="2" t="inlineStr">
        <is>
          <t>LG</t>
        </is>
      </c>
      <c r="B19" s="2" t="inlineStr">
        <is>
          <t>NANO80</t>
        </is>
      </c>
      <c r="C19" s="2" t="inlineStr">
        <is>
          <t>NANO80</t>
        </is>
      </c>
      <c r="D19" s="2" t="inlineStr">
        <is>
          <t>65NANO80A6B</t>
        </is>
      </c>
      <c r="E19" s="3" t="n">
        <v>65</v>
      </c>
      <c r="F19" s="3" t="n">
        <v>2026</v>
      </c>
      <c r="G19" s="4" t="n">
        <v>83.8</v>
      </c>
      <c r="H19" s="3" t="n">
        <v>300</v>
      </c>
      <c r="I19" s="3" t="n">
        <v>300</v>
      </c>
      <c r="J19" s="4" t="n">
        <v>15.9</v>
      </c>
      <c r="K19" s="4">
        <f>IF(ISNUMBER(J19),J19+I19/10,"")</f>
        <v/>
      </c>
      <c r="L19" s="2" t="inlineStr">
        <is>
          <t>billedmålt</t>
        </is>
      </c>
      <c r="M19" s="2" t="inlineStr">
        <is>
          <t>Which?</t>
        </is>
      </c>
      <c r="N19" s="2" t="inlineStr">
        <is>
          <t>Billedmålt på Which?-foto (lg-65nano80a6b): nederste VESA-hul 15,9 cm fra underkant, målt ud fra VESA 300×300 som skala. Usikkerhed ca. ±1 cm. Billedkontrol (LG): 16,1 cm.</t>
        </is>
      </c>
    </row>
    <row r="20">
      <c r="A20" s="2" t="inlineStr">
        <is>
          <t>LG</t>
        </is>
      </c>
      <c r="B20" s="2" t="inlineStr">
        <is>
          <t>NANO80</t>
        </is>
      </c>
      <c r="C20" s="2" t="inlineStr">
        <is>
          <t>NANO80</t>
        </is>
      </c>
      <c r="D20" s="2" t="inlineStr">
        <is>
          <t>55NANO80A6B</t>
        </is>
      </c>
      <c r="E20" s="3" t="n">
        <v>55</v>
      </c>
      <c r="F20" s="3" t="n">
        <v>2026</v>
      </c>
      <c r="G20" s="4" t="n">
        <v>71.5</v>
      </c>
      <c r="H20" s="3" t="n">
        <v>300</v>
      </c>
      <c r="I20" s="3" t="n">
        <v>300</v>
      </c>
      <c r="J20" s="4" t="n">
        <v>15.9</v>
      </c>
      <c r="K20" s="4">
        <f>IF(ISNUMBER(J20),J20+I20/10,"")</f>
        <v/>
      </c>
      <c r="L20" s="2" t="inlineStr">
        <is>
          <t>billedmålt</t>
        </is>
      </c>
      <c r="M20" s="2" t="inlineStr">
        <is>
          <t>Which?</t>
        </is>
      </c>
      <c r="N20" s="2" t="inlineStr">
        <is>
          <t>Billedmålt på Which?-foto (lg-55nano80a6b): nederste VESA-hul 15,9 cm fra underkant, målt ud fra VESA 300×300 som skala. Usikkerhed ca. ±1 cm. Billedkontrol (LG): 16 cm.</t>
        </is>
      </c>
    </row>
    <row r="21">
      <c r="A21" s="2" t="inlineStr">
        <is>
          <t>LG</t>
        </is>
      </c>
      <c r="B21" s="2" t="inlineStr">
        <is>
          <t>NANO80</t>
        </is>
      </c>
      <c r="C21" s="2" t="inlineStr">
        <is>
          <t>NANO80</t>
        </is>
      </c>
      <c r="D21" s="2" t="inlineStr">
        <is>
          <t>50NANO80A6B</t>
        </is>
      </c>
      <c r="E21" s="3" t="n">
        <v>50</v>
      </c>
      <c r="F21" s="3" t="n">
        <v>2026</v>
      </c>
      <c r="G21" s="4" t="n">
        <v>65.09999999999999</v>
      </c>
      <c r="H21" s="3" t="n">
        <v>200</v>
      </c>
      <c r="I21" s="3" t="n">
        <v>200</v>
      </c>
      <c r="J21" s="4" t="n">
        <v>22.4</v>
      </c>
      <c r="K21" s="4">
        <f>IF(ISNUMBER(J21),J21+I21/10,"")</f>
        <v/>
      </c>
      <c r="L21" s="2" t="inlineStr">
        <is>
          <t>billedmålt</t>
        </is>
      </c>
      <c r="M21" s="2" t="inlineStr">
        <is>
          <t>Which?</t>
        </is>
      </c>
      <c r="N21" s="2" t="inlineStr">
        <is>
          <t>Billedmålt på Which?-foto (lg-50nano80a6b): nederste VESA-hul 22,4 cm fra underkant, målt ud fra VESA 200×200 som skala. Usikkerhed ca. ±1 cm. Billedkontrol (LG): 22,5 cm.</t>
        </is>
      </c>
    </row>
    <row r="22">
      <c r="A22" s="2" t="inlineStr">
        <is>
          <t>LG</t>
        </is>
      </c>
      <c r="B22" s="2" t="inlineStr">
        <is>
          <t>NANO80</t>
        </is>
      </c>
      <c r="C22" s="2" t="inlineStr">
        <is>
          <t>NANO80</t>
        </is>
      </c>
      <c r="D22" s="2" t="inlineStr">
        <is>
          <t>43NANO80A6B</t>
        </is>
      </c>
      <c r="E22" s="3" t="n">
        <v>43</v>
      </c>
      <c r="F22" s="3" t="n">
        <v>2026</v>
      </c>
      <c r="G22" s="4" t="n">
        <v>56.4</v>
      </c>
      <c r="H22" s="3" t="n">
        <v>200</v>
      </c>
      <c r="I22" s="3" t="n">
        <v>200</v>
      </c>
      <c r="J22" s="4" t="n">
        <v>21.2</v>
      </c>
      <c r="K22" s="4">
        <f>IF(ISNUMBER(J22),J22+I22/10,"")</f>
        <v/>
      </c>
      <c r="L22" s="2" t="inlineStr">
        <is>
          <t>billedmålt</t>
        </is>
      </c>
      <c r="M22" s="2" t="inlineStr">
        <is>
          <t>Which?</t>
        </is>
      </c>
      <c r="N22" s="2" t="inlineStr">
        <is>
          <t>Billedmålt på Which?-foto (lg-43nano80a6b): nederste VESA-hul 21,2 cm fra underkant, målt ud fra VESA 200×200 som skala. Usikkerhed ca. ±1 cm. Billedkontrol (LG): 21,4 cm.</t>
        </is>
      </c>
    </row>
    <row r="23">
      <c r="A23" s="2" t="inlineStr">
        <is>
          <t>LG</t>
        </is>
      </c>
      <c r="B23" s="2" t="inlineStr">
        <is>
          <t>NANO81</t>
        </is>
      </c>
      <c r="C23" s="2" t="inlineStr">
        <is>
          <t>NANO81</t>
        </is>
      </c>
      <c r="D23" s="2" t="inlineStr">
        <is>
          <t>86NANO81T6A</t>
        </is>
      </c>
      <c r="E23" s="3" t="n">
        <v>86</v>
      </c>
      <c r="F23" s="3" t="n">
        <v>2024</v>
      </c>
      <c r="G23" s="4" t="n">
        <v>110.4</v>
      </c>
      <c r="H23" s="3" t="n">
        <v>600</v>
      </c>
      <c r="I23" s="3" t="n">
        <v>400</v>
      </c>
      <c r="J23" s="4" t="n"/>
      <c r="K23" s="4">
        <f>IF(ISNUMBER(J23),J23+I23/10,"")</f>
        <v/>
      </c>
      <c r="L23" s="2" t="inlineStr">
        <is>
          <t>estimat</t>
        </is>
      </c>
      <c r="M23" s="2" t="inlineStr"/>
      <c r="N23" s="2" t="inlineStr"/>
    </row>
    <row r="24">
      <c r="A24" s="2" t="inlineStr">
        <is>
          <t>LG</t>
        </is>
      </c>
      <c r="B24" s="2" t="inlineStr">
        <is>
          <t>NANO81</t>
        </is>
      </c>
      <c r="C24" s="2" t="inlineStr">
        <is>
          <t>NANO81</t>
        </is>
      </c>
      <c r="D24" s="2" t="inlineStr">
        <is>
          <t>86NANO81A6A</t>
        </is>
      </c>
      <c r="E24" s="3" t="n">
        <v>86</v>
      </c>
      <c r="F24" s="3" t="n">
        <v>2025</v>
      </c>
      <c r="G24" s="4" t="n">
        <v>110.4</v>
      </c>
      <c r="H24" s="3" t="n">
        <v>600</v>
      </c>
      <c r="I24" s="3" t="n">
        <v>400</v>
      </c>
      <c r="J24" s="4" t="n"/>
      <c r="K24" s="4">
        <f>IF(ISNUMBER(J24),J24+I24/10,"")</f>
        <v/>
      </c>
      <c r="L24" s="2" t="inlineStr">
        <is>
          <t>estimat</t>
        </is>
      </c>
      <c r="M24" s="2" t="inlineStr"/>
      <c r="N24" s="2" t="inlineStr"/>
    </row>
    <row r="25">
      <c r="A25" s="2" t="inlineStr">
        <is>
          <t>LG</t>
        </is>
      </c>
      <c r="B25" s="2" t="inlineStr">
        <is>
          <t>NANO81</t>
        </is>
      </c>
      <c r="C25" s="2" t="inlineStr">
        <is>
          <t>NANO81</t>
        </is>
      </c>
      <c r="D25" s="2" t="inlineStr">
        <is>
          <t>75NANO816QA, 75NANO819QA</t>
        </is>
      </c>
      <c r="E25" s="3" t="n">
        <v>75</v>
      </c>
      <c r="F25" s="3" t="n">
        <v>2022</v>
      </c>
      <c r="G25" s="4" t="n">
        <v>96.40000000000001</v>
      </c>
      <c r="H25" s="3" t="n">
        <v>400</v>
      </c>
      <c r="I25" s="3" t="n">
        <v>400</v>
      </c>
      <c r="J25" s="4" t="n"/>
      <c r="K25" s="4">
        <f>IF(ISNUMBER(J25),J25+I25/10,"")</f>
        <v/>
      </c>
      <c r="L25" s="2" t="inlineStr">
        <is>
          <t>estimat</t>
        </is>
      </c>
      <c r="M25" s="2" t="inlineStr"/>
      <c r="N25" s="2" t="inlineStr"/>
    </row>
    <row r="26">
      <c r="A26" s="2" t="inlineStr">
        <is>
          <t>LG</t>
        </is>
      </c>
      <c r="B26" s="2" t="inlineStr">
        <is>
          <t>NANO81</t>
        </is>
      </c>
      <c r="C26" s="2" t="inlineStr">
        <is>
          <t>NANO81</t>
        </is>
      </c>
      <c r="D26" s="2" t="inlineStr">
        <is>
          <t>75NANO81T6A</t>
        </is>
      </c>
      <c r="E26" s="3" t="n">
        <v>75</v>
      </c>
      <c r="F26" s="3" t="n">
        <v>2024</v>
      </c>
      <c r="G26" s="4" t="n">
        <v>96.40000000000001</v>
      </c>
      <c r="H26" s="3" t="n">
        <v>400</v>
      </c>
      <c r="I26" s="3" t="n">
        <v>400</v>
      </c>
      <c r="J26" s="4" t="n"/>
      <c r="K26" s="4">
        <f>IF(ISNUMBER(J26),J26+I26/10,"")</f>
        <v/>
      </c>
      <c r="L26" s="2" t="inlineStr">
        <is>
          <t>estimat</t>
        </is>
      </c>
      <c r="M26" s="2" t="inlineStr"/>
      <c r="N26" s="2" t="inlineStr"/>
    </row>
    <row r="27">
      <c r="A27" s="2" t="inlineStr">
        <is>
          <t>LG</t>
        </is>
      </c>
      <c r="B27" s="2" t="inlineStr">
        <is>
          <t>NANO81</t>
        </is>
      </c>
      <c r="C27" s="2" t="inlineStr">
        <is>
          <t>NANO81</t>
        </is>
      </c>
      <c r="D27" s="2" t="inlineStr">
        <is>
          <t>75NANO81A6A</t>
        </is>
      </c>
      <c r="E27" s="3" t="n">
        <v>75</v>
      </c>
      <c r="F27" s="3" t="n">
        <v>2025</v>
      </c>
      <c r="G27" s="4" t="n">
        <v>96.40000000000001</v>
      </c>
      <c r="H27" s="3" t="n">
        <v>400</v>
      </c>
      <c r="I27" s="3" t="n">
        <v>400</v>
      </c>
      <c r="J27" s="4" t="n"/>
      <c r="K27" s="4">
        <f>IF(ISNUMBER(J27),J27+I27/10,"")</f>
        <v/>
      </c>
      <c r="L27" s="2" t="inlineStr">
        <is>
          <t>estimat</t>
        </is>
      </c>
      <c r="M27" s="2" t="inlineStr"/>
      <c r="N27" s="2" t="inlineStr"/>
    </row>
    <row r="28">
      <c r="A28" s="2" t="inlineStr">
        <is>
          <t>LG</t>
        </is>
      </c>
      <c r="B28" s="2" t="inlineStr">
        <is>
          <t>NANO81</t>
        </is>
      </c>
      <c r="C28" s="2" t="inlineStr">
        <is>
          <t>NANO81</t>
        </is>
      </c>
      <c r="D28" s="2" t="inlineStr">
        <is>
          <t>65NANO816QA, 65NANO819QA</t>
        </is>
      </c>
      <c r="E28" s="3" t="n">
        <v>65</v>
      </c>
      <c r="F28" s="3" t="n">
        <v>2022</v>
      </c>
      <c r="G28" s="4" t="n">
        <v>83.8</v>
      </c>
      <c r="H28" s="3" t="n">
        <v>300</v>
      </c>
      <c r="I28" s="3" t="n">
        <v>300</v>
      </c>
      <c r="J28" s="4" t="n"/>
      <c r="K28" s="4">
        <f>IF(ISNUMBER(J28),J28+I28/10,"")</f>
        <v/>
      </c>
      <c r="L28" s="2" t="inlineStr">
        <is>
          <t>estimat</t>
        </is>
      </c>
      <c r="M28" s="2" t="inlineStr"/>
      <c r="N28" s="2" t="inlineStr"/>
    </row>
    <row r="29">
      <c r="A29" s="2" t="inlineStr">
        <is>
          <t>LG</t>
        </is>
      </c>
      <c r="B29" s="2" t="inlineStr">
        <is>
          <t>NANO81</t>
        </is>
      </c>
      <c r="C29" s="2" t="inlineStr">
        <is>
          <t>NANO81</t>
        </is>
      </c>
      <c r="D29" s="2" t="inlineStr">
        <is>
          <t>65NANO81T6A</t>
        </is>
      </c>
      <c r="E29" s="3" t="n">
        <v>65</v>
      </c>
      <c r="F29" s="3" t="n">
        <v>2024</v>
      </c>
      <c r="G29" s="4" t="n">
        <v>83.8</v>
      </c>
      <c r="H29" s="3" t="n">
        <v>300</v>
      </c>
      <c r="I29" s="3" t="n">
        <v>300</v>
      </c>
      <c r="J29" s="4" t="n"/>
      <c r="K29" s="4">
        <f>IF(ISNUMBER(J29),J29+I29/10,"")</f>
        <v/>
      </c>
      <c r="L29" s="2" t="inlineStr">
        <is>
          <t>estimat</t>
        </is>
      </c>
      <c r="M29" s="2" t="inlineStr"/>
      <c r="N29" s="2" t="inlineStr"/>
    </row>
    <row r="30">
      <c r="A30" s="2" t="inlineStr">
        <is>
          <t>LG</t>
        </is>
      </c>
      <c r="B30" s="2" t="inlineStr">
        <is>
          <t>NANO81</t>
        </is>
      </c>
      <c r="C30" s="2" t="inlineStr">
        <is>
          <t>NANO81</t>
        </is>
      </c>
      <c r="D30" s="2" t="inlineStr">
        <is>
          <t>65NANO81A6A</t>
        </is>
      </c>
      <c r="E30" s="3" t="n">
        <v>65</v>
      </c>
      <c r="F30" s="3" t="n">
        <v>2025</v>
      </c>
      <c r="G30" s="4" t="n">
        <v>83.8</v>
      </c>
      <c r="H30" s="3" t="n">
        <v>300</v>
      </c>
      <c r="I30" s="3" t="n">
        <v>300</v>
      </c>
      <c r="J30" s="4" t="n">
        <v>15.9</v>
      </c>
      <c r="K30" s="4">
        <f>IF(ISNUMBER(J30),J30+I30/10,"")</f>
        <v/>
      </c>
      <c r="L30" s="2" t="inlineStr">
        <is>
          <t>billedmålt</t>
        </is>
      </c>
      <c r="M30" s="2" t="inlineStr">
        <is>
          <t>Which?</t>
        </is>
      </c>
      <c r="N30" s="2" t="inlineStr">
        <is>
          <t>Billedmålt på Which?-foto (lg-65nano81a6a): nederste VESA-hul 15,9 cm fra underkant, målt ud fra VESA 300×300 som skala. Usikkerhed ca. ±1 cm.</t>
        </is>
      </c>
    </row>
    <row r="31">
      <c r="A31" s="2" t="inlineStr">
        <is>
          <t>LG</t>
        </is>
      </c>
      <c r="B31" s="2" t="inlineStr">
        <is>
          <t>NANO81</t>
        </is>
      </c>
      <c r="C31" s="2" t="inlineStr">
        <is>
          <t>NANO81</t>
        </is>
      </c>
      <c r="D31" s="2" t="inlineStr">
        <is>
          <t>55NANO816QA, 55NANO819QA</t>
        </is>
      </c>
      <c r="E31" s="3" t="n">
        <v>55</v>
      </c>
      <c r="F31" s="3" t="n">
        <v>2022</v>
      </c>
      <c r="G31" s="4" t="n">
        <v>71.5</v>
      </c>
      <c r="H31" s="3" t="n">
        <v>300</v>
      </c>
      <c r="I31" s="3" t="n">
        <v>300</v>
      </c>
      <c r="J31" s="4" t="n"/>
      <c r="K31" s="4">
        <f>IF(ISNUMBER(J31),J31+I31/10,"")</f>
        <v/>
      </c>
      <c r="L31" s="2" t="inlineStr">
        <is>
          <t>estimat</t>
        </is>
      </c>
      <c r="M31" s="2" t="inlineStr"/>
      <c r="N31" s="2" t="inlineStr"/>
    </row>
    <row r="32">
      <c r="A32" s="2" t="inlineStr">
        <is>
          <t>LG</t>
        </is>
      </c>
      <c r="B32" s="2" t="inlineStr">
        <is>
          <t>NANO81</t>
        </is>
      </c>
      <c r="C32" s="2" t="inlineStr">
        <is>
          <t>NANO81</t>
        </is>
      </c>
      <c r="D32" s="2" t="inlineStr">
        <is>
          <t>55NANO81T6A</t>
        </is>
      </c>
      <c r="E32" s="3" t="n">
        <v>55</v>
      </c>
      <c r="F32" s="3" t="n">
        <v>2024</v>
      </c>
      <c r="G32" s="4" t="n">
        <v>71.5</v>
      </c>
      <c r="H32" s="3" t="n">
        <v>300</v>
      </c>
      <c r="I32" s="3" t="n">
        <v>300</v>
      </c>
      <c r="J32" s="4" t="n">
        <v>15.9</v>
      </c>
      <c r="K32" s="4">
        <f>IF(ISNUMBER(J32),J32+I32/10,"")</f>
        <v/>
      </c>
      <c r="L32" s="2" t="inlineStr">
        <is>
          <t>billedmålt</t>
        </is>
      </c>
      <c r="M32" s="2" t="inlineStr">
        <is>
          <t>MediaMarkt</t>
        </is>
      </c>
      <c r="N32" s="2" t="inlineStr">
        <is>
          <t>Billedmålt på MediaMarkt-foto (foto af 55NANO81T6AA): nederste VESA-hul 15,9 cm fra underkant, målt ud fra VESA 300×300 som skala. Usikkerhed ca. ±1 cm. Billedkontrol (LG): 15,9 cm.</t>
        </is>
      </c>
    </row>
    <row r="33">
      <c r="A33" s="2" t="inlineStr">
        <is>
          <t>LG</t>
        </is>
      </c>
      <c r="B33" s="2" t="inlineStr">
        <is>
          <t>NANO81</t>
        </is>
      </c>
      <c r="C33" s="2" t="inlineStr">
        <is>
          <t>NANO81</t>
        </is>
      </c>
      <c r="D33" s="2" t="inlineStr">
        <is>
          <t>55NANO81A6A</t>
        </is>
      </c>
      <c r="E33" s="3" t="n">
        <v>55</v>
      </c>
      <c r="F33" s="3" t="n">
        <v>2025</v>
      </c>
      <c r="G33" s="4" t="n">
        <v>71.5</v>
      </c>
      <c r="H33" s="3" t="n">
        <v>300</v>
      </c>
      <c r="I33" s="3" t="n">
        <v>300</v>
      </c>
      <c r="J33" s="4" t="n">
        <v>15.9</v>
      </c>
      <c r="K33" s="4">
        <f>IF(ISNUMBER(J33),J33+I33/10,"")</f>
        <v/>
      </c>
      <c r="L33" s="2" t="inlineStr">
        <is>
          <t>billedmålt</t>
        </is>
      </c>
      <c r="M33" s="2" t="inlineStr">
        <is>
          <t>Which?</t>
        </is>
      </c>
      <c r="N33" s="2" t="inlineStr">
        <is>
          <t>Billedmålt på Which?-foto (lg-55nano81a6a): nederste VESA-hul 15,9 cm fra underkant, målt ud fra VESA 300×300 som skala. Usikkerhed ca. ±1 cm.</t>
        </is>
      </c>
    </row>
    <row r="34">
      <c r="A34" s="2" t="inlineStr">
        <is>
          <t>LG</t>
        </is>
      </c>
      <c r="B34" s="2" t="inlineStr">
        <is>
          <t>NANO81</t>
        </is>
      </c>
      <c r="C34" s="2" t="inlineStr">
        <is>
          <t>NANO81</t>
        </is>
      </c>
      <c r="D34" s="2" t="inlineStr">
        <is>
          <t>50NANO816QA, 50NANO819QA</t>
        </is>
      </c>
      <c r="E34" s="3" t="n">
        <v>50</v>
      </c>
      <c r="F34" s="3" t="n">
        <v>2022</v>
      </c>
      <c r="G34" s="4" t="n">
        <v>65.09999999999999</v>
      </c>
      <c r="H34" s="3" t="n">
        <v>200</v>
      </c>
      <c r="I34" s="3" t="n">
        <v>200</v>
      </c>
      <c r="J34" s="4" t="n"/>
      <c r="K34" s="4">
        <f>IF(ISNUMBER(J34),J34+I34/10,"")</f>
        <v/>
      </c>
      <c r="L34" s="2" t="inlineStr">
        <is>
          <t>estimat</t>
        </is>
      </c>
      <c r="M34" s="2" t="inlineStr"/>
      <c r="N34" s="2" t="inlineStr"/>
    </row>
    <row r="35">
      <c r="A35" s="2" t="inlineStr">
        <is>
          <t>LG</t>
        </is>
      </c>
      <c r="B35" s="2" t="inlineStr">
        <is>
          <t>NANO81</t>
        </is>
      </c>
      <c r="C35" s="2" t="inlineStr">
        <is>
          <t>NANO81</t>
        </is>
      </c>
      <c r="D35" s="2" t="inlineStr">
        <is>
          <t>50NANO81T6A</t>
        </is>
      </c>
      <c r="E35" s="3" t="n">
        <v>50</v>
      </c>
      <c r="F35" s="3" t="n">
        <v>2024</v>
      </c>
      <c r="G35" s="4" t="n">
        <v>65.09999999999999</v>
      </c>
      <c r="H35" s="3" t="n">
        <v>200</v>
      </c>
      <c r="I35" s="3" t="n">
        <v>200</v>
      </c>
      <c r="J35" s="4" t="n"/>
      <c r="K35" s="4">
        <f>IF(ISNUMBER(J35),J35+I35/10,"")</f>
        <v/>
      </c>
      <c r="L35" s="2" t="inlineStr">
        <is>
          <t>estimat</t>
        </is>
      </c>
      <c r="M35" s="2" t="inlineStr"/>
      <c r="N35" s="2" t="inlineStr"/>
    </row>
    <row r="36">
      <c r="A36" s="2" t="inlineStr">
        <is>
          <t>LG</t>
        </is>
      </c>
      <c r="B36" s="2" t="inlineStr">
        <is>
          <t>NANO81</t>
        </is>
      </c>
      <c r="C36" s="2" t="inlineStr">
        <is>
          <t>NANO81</t>
        </is>
      </c>
      <c r="D36" s="2" t="inlineStr">
        <is>
          <t>50NANO81A6A</t>
        </is>
      </c>
      <c r="E36" s="3" t="n">
        <v>50</v>
      </c>
      <c r="F36" s="3" t="n">
        <v>2025</v>
      </c>
      <c r="G36" s="4" t="n">
        <v>65.09999999999999</v>
      </c>
      <c r="H36" s="3" t="n">
        <v>200</v>
      </c>
      <c r="I36" s="3" t="n">
        <v>200</v>
      </c>
      <c r="J36" s="4" t="n">
        <v>22.4</v>
      </c>
      <c r="K36" s="4">
        <f>IF(ISNUMBER(J36),J36+I36/10,"")</f>
        <v/>
      </c>
      <c r="L36" s="2" t="inlineStr">
        <is>
          <t>billedmålt</t>
        </is>
      </c>
      <c r="M36" s="2" t="inlineStr">
        <is>
          <t>Which?</t>
        </is>
      </c>
      <c r="N36" s="2" t="inlineStr">
        <is>
          <t>Billedmålt på Which?-foto (lg-50nano81a6a): nederste VESA-hul 22,4 cm fra underkant, målt ud fra VESA 200×200 som skala. Usikkerhed ca. ±1 cm.</t>
        </is>
      </c>
    </row>
    <row r="37">
      <c r="A37" s="2" t="inlineStr">
        <is>
          <t>LG</t>
        </is>
      </c>
      <c r="B37" s="2" t="inlineStr">
        <is>
          <t>NANO81</t>
        </is>
      </c>
      <c r="C37" s="2" t="inlineStr">
        <is>
          <t>NANO81</t>
        </is>
      </c>
      <c r="D37" s="2" t="inlineStr">
        <is>
          <t>43NANO81T6A</t>
        </is>
      </c>
      <c r="E37" s="3" t="n">
        <v>43</v>
      </c>
      <c r="F37" s="3" t="n">
        <v>2024</v>
      </c>
      <c r="G37" s="4" t="n">
        <v>56.4</v>
      </c>
      <c r="H37" s="3" t="n">
        <v>200</v>
      </c>
      <c r="I37" s="3" t="n">
        <v>200</v>
      </c>
      <c r="J37" s="4" t="n"/>
      <c r="K37" s="4">
        <f>IF(ISNUMBER(J37),J37+I37/10,"")</f>
        <v/>
      </c>
      <c r="L37" s="2" t="inlineStr">
        <is>
          <t>estimat</t>
        </is>
      </c>
      <c r="M37" s="2" t="inlineStr"/>
      <c r="N37" s="2" t="inlineStr"/>
    </row>
    <row r="38">
      <c r="A38" s="2" t="inlineStr">
        <is>
          <t>LG</t>
        </is>
      </c>
      <c r="B38" s="2" t="inlineStr">
        <is>
          <t>NANO81</t>
        </is>
      </c>
      <c r="C38" s="2" t="inlineStr">
        <is>
          <t>NANO81</t>
        </is>
      </c>
      <c r="D38" s="2" t="inlineStr">
        <is>
          <t>43NANO81A6A</t>
        </is>
      </c>
      <c r="E38" s="3" t="n">
        <v>43</v>
      </c>
      <c r="F38" s="3" t="n">
        <v>2025</v>
      </c>
      <c r="G38" s="4" t="n">
        <v>56.4</v>
      </c>
      <c r="H38" s="3" t="n">
        <v>200</v>
      </c>
      <c r="I38" s="3" t="n">
        <v>200</v>
      </c>
      <c r="J38" s="4" t="n">
        <v>21.2</v>
      </c>
      <c r="K38" s="4">
        <f>IF(ISNUMBER(J38),J38+I38/10,"")</f>
        <v/>
      </c>
      <c r="L38" s="2" t="inlineStr">
        <is>
          <t>billedmålt</t>
        </is>
      </c>
      <c r="M38" s="2" t="inlineStr">
        <is>
          <t>Which?</t>
        </is>
      </c>
      <c r="N38" s="2" t="inlineStr">
        <is>
          <t>Billedmålt på Which?-foto (lg-43nano81a6a): nederste VESA-hul 21,2 cm fra underkant, målt ud fra VESA 200×200 som skala. Usikkerhed ca. ±1 cm.</t>
        </is>
      </c>
    </row>
    <row r="39">
      <c r="A39" s="2" t="inlineStr">
        <is>
          <t>LG</t>
        </is>
      </c>
      <c r="B39" s="2" t="inlineStr">
        <is>
          <t>NANO82</t>
        </is>
      </c>
      <c r="C39" s="2" t="inlineStr">
        <is>
          <t>NANO82</t>
        </is>
      </c>
      <c r="D39" s="2" t="inlineStr">
        <is>
          <t>75NANO82T6B</t>
        </is>
      </c>
      <c r="E39" s="3" t="n">
        <v>75</v>
      </c>
      <c r="F39" s="3" t="n">
        <v>2026</v>
      </c>
      <c r="G39" s="4" t="n">
        <v>96.40000000000001</v>
      </c>
      <c r="H39" s="3" t="n">
        <v>400</v>
      </c>
      <c r="I39" s="3" t="n">
        <v>400</v>
      </c>
      <c r="J39" s="4" t="n"/>
      <c r="K39" s="4">
        <f>IF(ISNUMBER(J39),J39+I39/10,"")</f>
        <v/>
      </c>
      <c r="L39" s="2" t="inlineStr">
        <is>
          <t>estimat</t>
        </is>
      </c>
      <c r="M39" s="2" t="inlineStr"/>
      <c r="N39" s="2" t="inlineStr"/>
    </row>
    <row r="40">
      <c r="A40" s="2" t="inlineStr">
        <is>
          <t>LG</t>
        </is>
      </c>
      <c r="B40" s="2" t="inlineStr">
        <is>
          <t>NANO82</t>
        </is>
      </c>
      <c r="C40" s="2" t="inlineStr">
        <is>
          <t>NANO82</t>
        </is>
      </c>
      <c r="D40" s="2" t="inlineStr">
        <is>
          <t>65NANO82T6B</t>
        </is>
      </c>
      <c r="E40" s="3" t="n">
        <v>65</v>
      </c>
      <c r="F40" s="3" t="n">
        <v>2026</v>
      </c>
      <c r="G40" s="4" t="n">
        <v>83.8</v>
      </c>
      <c r="H40" s="3" t="n">
        <v>300</v>
      </c>
      <c r="I40" s="3" t="n">
        <v>300</v>
      </c>
      <c r="J40" s="4" t="n"/>
      <c r="K40" s="4">
        <f>IF(ISNUMBER(J40),J40+I40/10,"")</f>
        <v/>
      </c>
      <c r="L40" s="2" t="inlineStr">
        <is>
          <t>estimat</t>
        </is>
      </c>
      <c r="M40" s="2" t="inlineStr"/>
      <c r="N40" s="2" t="inlineStr"/>
    </row>
    <row r="41">
      <c r="A41" s="2" t="inlineStr">
        <is>
          <t>LG</t>
        </is>
      </c>
      <c r="B41" s="2" t="inlineStr">
        <is>
          <t>NANO82</t>
        </is>
      </c>
      <c r="C41" s="2" t="inlineStr">
        <is>
          <t>NANO82</t>
        </is>
      </c>
      <c r="D41" s="2" t="inlineStr">
        <is>
          <t>55NANO82T6B</t>
        </is>
      </c>
      <c r="E41" s="3" t="n">
        <v>55</v>
      </c>
      <c r="F41" s="3" t="n">
        <v>2026</v>
      </c>
      <c r="G41" s="4" t="n">
        <v>71.5</v>
      </c>
      <c r="H41" s="3" t="n">
        <v>300</v>
      </c>
      <c r="I41" s="3" t="n">
        <v>300</v>
      </c>
      <c r="J41" s="4" t="n">
        <v>15.8</v>
      </c>
      <c r="K41" s="4">
        <f>IF(ISNUMBER(J41),J41+I41/10,"")</f>
        <v/>
      </c>
      <c r="L41" s="2" t="inlineStr">
        <is>
          <t>billedmålt</t>
        </is>
      </c>
      <c r="M41" s="2" t="inlineStr">
        <is>
          <t>Icecat</t>
        </is>
      </c>
      <c r="N41" s="2" t="inlineStr">
        <is>
          <t>Billedmålt på Icecat-foto: nederste VESA-hul 15,8 cm fra underkant, målt ud fra VESA 300×300 som skala. Usikkerhed ca. ±1 cm. Billedkontrol (LG): 15,8 cm.</t>
        </is>
      </c>
    </row>
    <row r="42">
      <c r="A42" s="2" t="inlineStr">
        <is>
          <t>LG</t>
        </is>
      </c>
      <c r="B42" s="2" t="inlineStr">
        <is>
          <t>NANO82</t>
        </is>
      </c>
      <c r="C42" s="2" t="inlineStr">
        <is>
          <t>NANO82</t>
        </is>
      </c>
      <c r="D42" s="2" t="inlineStr">
        <is>
          <t>50NANO82T6B</t>
        </is>
      </c>
      <c r="E42" s="3" t="n">
        <v>50</v>
      </c>
      <c r="F42" s="3" t="n">
        <v>2026</v>
      </c>
      <c r="G42" s="4" t="n">
        <v>65.09999999999999</v>
      </c>
      <c r="H42" s="3" t="n">
        <v>200</v>
      </c>
      <c r="I42" s="3" t="n">
        <v>200</v>
      </c>
      <c r="J42" s="4" t="n"/>
      <c r="K42" s="4">
        <f>IF(ISNUMBER(J42),J42+I42/10,"")</f>
        <v/>
      </c>
      <c r="L42" s="2" t="inlineStr">
        <is>
          <t>estimat</t>
        </is>
      </c>
      <c r="M42" s="2" t="inlineStr"/>
      <c r="N42" s="2" t="inlineStr"/>
    </row>
    <row r="43">
      <c r="A43" s="2" t="inlineStr">
        <is>
          <t>LG</t>
        </is>
      </c>
      <c r="B43" s="2" t="inlineStr">
        <is>
          <t>NANO82</t>
        </is>
      </c>
      <c r="C43" s="2" t="inlineStr">
        <is>
          <t>NANO82</t>
        </is>
      </c>
      <c r="D43" s="2" t="inlineStr">
        <is>
          <t>43NANO82T6B</t>
        </is>
      </c>
      <c r="E43" s="3" t="n">
        <v>43</v>
      </c>
      <c r="F43" s="3" t="n">
        <v>2026</v>
      </c>
      <c r="G43" s="4" t="n">
        <v>56.4</v>
      </c>
      <c r="H43" s="3" t="n">
        <v>200</v>
      </c>
      <c r="I43" s="3" t="n">
        <v>200</v>
      </c>
      <c r="J43" s="4" t="n"/>
      <c r="K43" s="4">
        <f>IF(ISNUMBER(J43),J43+I43/10,"")</f>
        <v/>
      </c>
      <c r="L43" s="2" t="inlineStr">
        <is>
          <t>estimat</t>
        </is>
      </c>
      <c r="M43" s="2" t="inlineStr"/>
      <c r="N43" s="2" t="inlineStr"/>
    </row>
    <row r="44">
      <c r="A44" s="2" t="inlineStr">
        <is>
          <t>LG</t>
        </is>
      </c>
      <c r="B44" s="2" t="inlineStr">
        <is>
          <t>NANO90</t>
        </is>
      </c>
      <c r="C44" s="2" t="inlineStr">
        <is>
          <t>NANO90</t>
        </is>
      </c>
      <c r="D44" s="2" t="inlineStr">
        <is>
          <t>75NANO90A6B</t>
        </is>
      </c>
      <c r="E44" s="3" t="n">
        <v>75</v>
      </c>
      <c r="F44" s="3" t="n">
        <v>2026</v>
      </c>
      <c r="G44" s="4" t="n">
        <v>96.5</v>
      </c>
      <c r="H44" s="3" t="n">
        <v>400</v>
      </c>
      <c r="I44" s="3" t="n">
        <v>300</v>
      </c>
      <c r="J44" s="4" t="n">
        <v>36</v>
      </c>
      <c r="K44" s="4">
        <f>IF(ISNUMBER(J44),J44+I44/10,"")</f>
        <v/>
      </c>
      <c r="L44" s="2" t="inlineStr">
        <is>
          <t>billedmålt</t>
        </is>
      </c>
      <c r="M44" s="2" t="inlineStr">
        <is>
          <t>LG</t>
        </is>
      </c>
      <c r="N44" s="2" t="inlineStr">
        <is>
          <t>Billedmålt på LG-foto: nederste VESA-hul 36 cm fra underkant, målt ud fra VESA 400×300 som skala. Usikkerhed ca. ±1 cm.</t>
        </is>
      </c>
    </row>
    <row r="45">
      <c r="A45" s="2" t="inlineStr">
        <is>
          <t>LG</t>
        </is>
      </c>
      <c r="B45" s="2" t="inlineStr">
        <is>
          <t>NANO90</t>
        </is>
      </c>
      <c r="C45" s="2" t="inlineStr">
        <is>
          <t>NANO90</t>
        </is>
      </c>
      <c r="D45" s="2" t="inlineStr">
        <is>
          <t>65NANO90A6B</t>
        </is>
      </c>
      <c r="E45" s="3" t="n">
        <v>65</v>
      </c>
      <c r="F45" s="3" t="n">
        <v>2026</v>
      </c>
      <c r="G45" s="4" t="n">
        <v>84</v>
      </c>
      <c r="H45" s="3" t="n">
        <v>300</v>
      </c>
      <c r="I45" s="3" t="n">
        <v>300</v>
      </c>
      <c r="J45" s="4" t="n">
        <v>31.8</v>
      </c>
      <c r="K45" s="4">
        <f>IF(ISNUMBER(J45),J45+I45/10,"")</f>
        <v/>
      </c>
      <c r="L45" s="2" t="inlineStr">
        <is>
          <t>billedmålt</t>
        </is>
      </c>
      <c r="M45" s="2" t="inlineStr">
        <is>
          <t>LG</t>
        </is>
      </c>
      <c r="N45" s="2" t="inlineStr">
        <is>
          <t>Billedmålt på LG-foto: nederste VESA-hul 31,8 cm fra underkant, målt ud fra VESA 300×300 som skala. Usikkerhed ca. ±1 cm.</t>
        </is>
      </c>
    </row>
    <row r="46">
      <c r="A46" s="2" t="inlineStr">
        <is>
          <t>LG</t>
        </is>
      </c>
      <c r="B46" s="2" t="inlineStr">
        <is>
          <t>NANO90</t>
        </is>
      </c>
      <c r="C46" s="2" t="inlineStr">
        <is>
          <t>NANO90</t>
        </is>
      </c>
      <c r="D46" s="2" t="inlineStr">
        <is>
          <t>55NANO90A6B</t>
        </is>
      </c>
      <c r="E46" s="3" t="n">
        <v>55</v>
      </c>
      <c r="F46" s="3" t="n">
        <v>2026</v>
      </c>
      <c r="G46" s="4" t="n">
        <v>71.59999999999999</v>
      </c>
      <c r="H46" s="3" t="n">
        <v>300</v>
      </c>
      <c r="I46" s="3" t="n">
        <v>300</v>
      </c>
      <c r="J46" s="4" t="n">
        <v>28.4</v>
      </c>
      <c r="K46" s="4">
        <f>IF(ISNUMBER(J46),J46+I46/10,"")</f>
        <v/>
      </c>
      <c r="L46" s="2" t="inlineStr">
        <is>
          <t>billedmålt</t>
        </is>
      </c>
      <c r="M46" s="2" t="inlineStr">
        <is>
          <t>LG</t>
        </is>
      </c>
      <c r="N46" s="2" t="inlineStr">
        <is>
          <t>Billedmålt på LG-foto: nederste VESA-hul 28,4 cm fra underkant, målt ud fra VESA 300×300 som skala. Usikkerhed ca. ±1 cm.</t>
        </is>
      </c>
    </row>
    <row r="47">
      <c r="A47" s="2" t="inlineStr">
        <is>
          <t>LG</t>
        </is>
      </c>
      <c r="B47" s="2" t="inlineStr">
        <is>
          <t>NANO90</t>
        </is>
      </c>
      <c r="C47" s="2" t="inlineStr">
        <is>
          <t>NANO90</t>
        </is>
      </c>
      <c r="D47" s="2" t="inlineStr">
        <is>
          <t>50NANO90A6B</t>
        </is>
      </c>
      <c r="E47" s="3" t="n">
        <v>50</v>
      </c>
      <c r="F47" s="3" t="n">
        <v>2026</v>
      </c>
      <c r="G47" s="4" t="n">
        <v>65.2</v>
      </c>
      <c r="H47" s="3" t="n">
        <v>200</v>
      </c>
      <c r="I47" s="3" t="n">
        <v>200</v>
      </c>
      <c r="J47" s="4" t="n">
        <v>30.8</v>
      </c>
      <c r="K47" s="4">
        <f>IF(ISNUMBER(J47),J47+I47/10,"")</f>
        <v/>
      </c>
      <c r="L47" s="2" t="inlineStr">
        <is>
          <t>billedmålt</t>
        </is>
      </c>
      <c r="M47" s="2" t="inlineStr">
        <is>
          <t>LG</t>
        </is>
      </c>
      <c r="N47" s="2" t="inlineStr">
        <is>
          <t>Billedmålt på LG-foto: nederste VESA-hul 30,8 cm fra underkant, målt ud fra VESA 200×200 som skala. Usikkerhed ca. ±1 cm.</t>
        </is>
      </c>
    </row>
    <row r="48">
      <c r="A48" s="2" t="inlineStr">
        <is>
          <t>LG</t>
        </is>
      </c>
      <c r="B48" s="2" t="inlineStr">
        <is>
          <t>NANO90</t>
        </is>
      </c>
      <c r="C48" s="2" t="inlineStr">
        <is>
          <t>NANO90</t>
        </is>
      </c>
      <c r="D48" s="2" t="inlineStr">
        <is>
          <t>43NANO90A6B</t>
        </is>
      </c>
      <c r="E48" s="3" t="n">
        <v>43</v>
      </c>
      <c r="F48" s="3" t="n">
        <v>2026</v>
      </c>
      <c r="G48" s="4" t="n">
        <v>56.5</v>
      </c>
      <c r="H48" s="3" t="n">
        <v>200</v>
      </c>
      <c r="I48" s="3" t="n">
        <v>200</v>
      </c>
      <c r="J48" s="4" t="n">
        <v>21.1</v>
      </c>
      <c r="K48" s="4">
        <f>IF(ISNUMBER(J48),J48+I48/10,"")</f>
        <v/>
      </c>
      <c r="L48" s="2" t="inlineStr">
        <is>
          <t>billedmålt</t>
        </is>
      </c>
      <c r="M48" s="2" t="inlineStr">
        <is>
          <t>LG</t>
        </is>
      </c>
      <c r="N48" s="2" t="inlineStr">
        <is>
          <t>Billedmålt på LG-foto: nederste VESA-hul 21,1 cm fra underkant, målt ud fra VESA 200×200 som skala. Usikkerhed ca. ±1 cm.</t>
        </is>
      </c>
    </row>
    <row r="49">
      <c r="A49" s="2" t="inlineStr">
        <is>
          <t>LG</t>
        </is>
      </c>
      <c r="B49" s="2" t="inlineStr">
        <is>
          <t>OLED 65″ (uidentificeret)</t>
        </is>
      </c>
      <c r="C49" s="2" t="inlineStr">
        <is>
          <t>LG OLED 65″, kundeoplyst C-serie, VESA 300×300</t>
        </is>
      </c>
      <c r="D49" s="2" t="inlineStr">
        <is>
          <t>LG OLED 65 300x300 kundemålt</t>
        </is>
      </c>
      <c r="E49" s="3" t="n">
        <v>65</v>
      </c>
      <c r="F49" s="3" t="n">
        <v>2024</v>
      </c>
      <c r="G49" s="4" t="n">
        <v>83.8</v>
      </c>
      <c r="H49" s="3" t="n">
        <v>300</v>
      </c>
      <c r="I49" s="3" t="n">
        <v>300</v>
      </c>
      <c r="J49" s="4" t="n">
        <v>13</v>
      </c>
      <c r="K49" s="4">
        <f>IF(ISNUMBER(J49),J49+I49/10,"")</f>
        <v/>
      </c>
      <c r="L49" s="2" t="inlineStr">
        <is>
          <t>kundemålt</t>
        </is>
      </c>
      <c r="M49" s="2" t="inlineStr"/>
      <c r="N49" s="2" t="inlineStr">
        <is>
          <t>Kundemålt 16/9-2026 (huller 13 og 43 cm fra underkant, 83,8 cm høj, VESA 300×300). Modellen er uafklaret: C4/C5 65″ har VESA 300×200 og hullerne 22 cm oppe, så dette er et andet LG-tv.</t>
        </is>
      </c>
    </row>
    <row r="50">
      <c r="A50" s="2" t="inlineStr">
        <is>
          <t>LG</t>
        </is>
      </c>
      <c r="B50" s="2" t="inlineStr">
        <is>
          <t>OLED A2</t>
        </is>
      </c>
      <c r="C50" s="2" t="inlineStr">
        <is>
          <t>OLED A26</t>
        </is>
      </c>
      <c r="D50" s="2" t="inlineStr">
        <is>
          <t>OLED65A26LA, OLED65A29LA</t>
        </is>
      </c>
      <c r="E50" s="3" t="n">
        <v>65</v>
      </c>
      <c r="F50" s="3" t="n">
        <v>2022</v>
      </c>
      <c r="G50" s="4" t="n">
        <v>83.2</v>
      </c>
      <c r="H50" s="3" t="n">
        <v>300</v>
      </c>
      <c r="I50" s="3" t="n">
        <v>200</v>
      </c>
      <c r="J50" s="4" t="n"/>
      <c r="K50" s="4">
        <f>IF(ISNUMBER(J50),J50+I50/10,"")</f>
        <v/>
      </c>
      <c r="L50" s="2" t="inlineStr">
        <is>
          <t>estimat</t>
        </is>
      </c>
      <c r="M50" s="2" t="inlineStr"/>
      <c r="N50" s="2" t="inlineStr"/>
    </row>
    <row r="51">
      <c r="A51" s="2" t="inlineStr">
        <is>
          <t>LG</t>
        </is>
      </c>
      <c r="B51" s="2" t="inlineStr">
        <is>
          <t>OLED A2</t>
        </is>
      </c>
      <c r="C51" s="2" t="inlineStr">
        <is>
          <t>OLED A26</t>
        </is>
      </c>
      <c r="D51" s="2" t="inlineStr">
        <is>
          <t>OLED55A26LA, OLED55A29LA</t>
        </is>
      </c>
      <c r="E51" s="3" t="n">
        <v>55</v>
      </c>
      <c r="F51" s="3" t="n">
        <v>2022</v>
      </c>
      <c r="G51" s="4" t="n">
        <v>70.8</v>
      </c>
      <c r="H51" s="3" t="n">
        <v>300</v>
      </c>
      <c r="I51" s="3" t="n">
        <v>200</v>
      </c>
      <c r="J51" s="4" t="n">
        <v>13.6</v>
      </c>
      <c r="K51" s="4">
        <f>IF(ISNUMBER(J51),J51+I51/10,"")</f>
        <v/>
      </c>
      <c r="L51" s="2" t="inlineStr">
        <is>
          <t>billedmålt</t>
        </is>
      </c>
      <c r="M51" s="2" t="inlineStr">
        <is>
          <t>LG</t>
        </is>
      </c>
      <c r="N51" s="2" t="inlineStr">
        <is>
          <t>Billedmålt på LG-foto: nederste VESA-hul 13,6 cm fra underkant, målt ud fra VESA 300×200 som skala. Usikkerhed ca. ±1 cm.</t>
        </is>
      </c>
    </row>
    <row r="52">
      <c r="A52" s="2" t="inlineStr">
        <is>
          <t>LG</t>
        </is>
      </c>
      <c r="B52" s="2" t="inlineStr">
        <is>
          <t>OLED A2</t>
        </is>
      </c>
      <c r="C52" s="2" t="inlineStr">
        <is>
          <t>OLED A26</t>
        </is>
      </c>
      <c r="D52" s="2" t="inlineStr">
        <is>
          <t>OLED48A26LA, OLED48A29LA</t>
        </is>
      </c>
      <c r="E52" s="3" t="n">
        <v>48</v>
      </c>
      <c r="F52" s="3" t="n">
        <v>2022</v>
      </c>
      <c r="G52" s="4" t="n">
        <v>62</v>
      </c>
      <c r="H52" s="3" t="n">
        <v>300</v>
      </c>
      <c r="I52" s="3" t="n">
        <v>200</v>
      </c>
      <c r="J52" s="4" t="n">
        <v>13.6</v>
      </c>
      <c r="K52" s="4">
        <f>IF(ISNUMBER(J52),J52+I52/10,"")</f>
        <v/>
      </c>
      <c r="L52" s="2" t="inlineStr">
        <is>
          <t>billedmålt</t>
        </is>
      </c>
      <c r="M52" s="2" t="inlineStr">
        <is>
          <t>LG</t>
        </is>
      </c>
      <c r="N52" s="2" t="inlineStr">
        <is>
          <t>Billedmålt på LG-foto: nederste VESA-hul 13,6 cm fra underkant, målt ud fra VESA 300×200 som skala. Usikkerhed ca. ±1 cm.</t>
        </is>
      </c>
    </row>
    <row r="53">
      <c r="A53" s="2" t="inlineStr">
        <is>
          <t>LG</t>
        </is>
      </c>
      <c r="B53" s="2" t="inlineStr">
        <is>
          <t>OLED A3</t>
        </is>
      </c>
      <c r="C53" s="2" t="inlineStr">
        <is>
          <t>OLED A3 (2023)</t>
        </is>
      </c>
      <c r="D53" s="2" t="inlineStr">
        <is>
          <t>LG OLED A3 77″ 2023</t>
        </is>
      </c>
      <c r="E53" s="3" t="n">
        <v>77</v>
      </c>
      <c r="F53" s="3" t="n">
        <v>2023</v>
      </c>
      <c r="G53" s="4" t="n">
        <v>98.3</v>
      </c>
      <c r="H53" s="3" t="n">
        <v>300</v>
      </c>
      <c r="I53" s="3" t="n">
        <v>200</v>
      </c>
      <c r="J53" s="4" t="n">
        <v>19.3</v>
      </c>
      <c r="K53" s="4">
        <f>IF(ISNUMBER(J53),J53+I53/10,"")</f>
        <v/>
      </c>
      <c r="L53" s="2" t="inlineStr">
        <is>
          <t>producentens mål</t>
        </is>
      </c>
      <c r="M53" s="2" t="inlineStr">
        <is>
          <t>LG-tegning 2023</t>
        </is>
      </c>
      <c r="N53" s="2" t="inlineStr">
        <is>
          <t>LG's officielle bagside-tegning 2023: X1 = 193 mm. Højden er regnet som X1 + VESA + W (ca. 1 cm usikkerhed).</t>
        </is>
      </c>
    </row>
    <row r="54">
      <c r="A54" s="2" t="inlineStr">
        <is>
          <t>LG</t>
        </is>
      </c>
      <c r="B54" s="2" t="inlineStr">
        <is>
          <t>OLED A3</t>
        </is>
      </c>
      <c r="C54" s="2" t="inlineStr">
        <is>
          <t>OLED A3 (2023)</t>
        </is>
      </c>
      <c r="D54" s="2" t="inlineStr">
        <is>
          <t>LG OLED A3 65″ 2023</t>
        </is>
      </c>
      <c r="E54" s="3" t="n">
        <v>65</v>
      </c>
      <c r="F54" s="3" t="n">
        <v>2023</v>
      </c>
      <c r="G54" s="4" t="n">
        <v>82.59999999999999</v>
      </c>
      <c r="H54" s="3" t="n">
        <v>300</v>
      </c>
      <c r="I54" s="3" t="n">
        <v>200</v>
      </c>
      <c r="J54" s="4" t="n">
        <v>14.3</v>
      </c>
      <c r="K54" s="4">
        <f>IF(ISNUMBER(J54),J54+I54/10,"")</f>
        <v/>
      </c>
      <c r="L54" s="2" t="inlineStr">
        <is>
          <t>producentens mål</t>
        </is>
      </c>
      <c r="M54" s="2" t="inlineStr">
        <is>
          <t>LG-tegning 2023</t>
        </is>
      </c>
      <c r="N54" s="2" t="inlineStr">
        <is>
          <t>LG's officielle bagside-tegning 2023: X1 = 143 mm. Højden er regnet som X1 + VESA + W (ca. 1 cm usikkerhed).</t>
        </is>
      </c>
    </row>
    <row r="55">
      <c r="A55" s="2" t="inlineStr">
        <is>
          <t>LG</t>
        </is>
      </c>
      <c r="B55" s="2" t="inlineStr">
        <is>
          <t>OLED A3</t>
        </is>
      </c>
      <c r="C55" s="2" t="inlineStr">
        <is>
          <t>OLED A3 (2023)</t>
        </is>
      </c>
      <c r="D55" s="2" t="inlineStr">
        <is>
          <t>LG OLED A3 55″ 2023</t>
        </is>
      </c>
      <c r="E55" s="3" t="n">
        <v>55</v>
      </c>
      <c r="F55" s="3" t="n">
        <v>2023</v>
      </c>
      <c r="G55" s="4" t="n">
        <v>70.2</v>
      </c>
      <c r="H55" s="3" t="n">
        <v>300</v>
      </c>
      <c r="I55" s="3" t="n">
        <v>200</v>
      </c>
      <c r="J55" s="4" t="n">
        <v>14.3</v>
      </c>
      <c r="K55" s="4">
        <f>IF(ISNUMBER(J55),J55+I55/10,"")</f>
        <v/>
      </c>
      <c r="L55" s="2" t="inlineStr">
        <is>
          <t>producentens mål</t>
        </is>
      </c>
      <c r="M55" s="2" t="inlineStr">
        <is>
          <t>LG-tegning 2023</t>
        </is>
      </c>
      <c r="N55" s="2" t="inlineStr">
        <is>
          <t>LG's officielle bagside-tegning 2023: X1 = 143 mm. Højden er regnet som X1 + VESA + W (ca. 1 cm usikkerhed).</t>
        </is>
      </c>
    </row>
    <row r="56">
      <c r="A56" s="2" t="inlineStr">
        <is>
          <t>LG</t>
        </is>
      </c>
      <c r="B56" s="2" t="inlineStr">
        <is>
          <t>OLED A3</t>
        </is>
      </c>
      <c r="C56" s="2" t="inlineStr">
        <is>
          <t>OLED A3 (2023)</t>
        </is>
      </c>
      <c r="D56" s="2" t="inlineStr">
        <is>
          <t>LG OLED A3 48″ 2023</t>
        </is>
      </c>
      <c r="E56" s="3" t="n">
        <v>48</v>
      </c>
      <c r="F56" s="3" t="n">
        <v>2023</v>
      </c>
      <c r="G56" s="4" t="n">
        <v>61.4</v>
      </c>
      <c r="H56" s="3" t="n">
        <v>300</v>
      </c>
      <c r="I56" s="3" t="n">
        <v>200</v>
      </c>
      <c r="J56" s="4" t="n">
        <v>14.3</v>
      </c>
      <c r="K56" s="4">
        <f>IF(ISNUMBER(J56),J56+I56/10,"")</f>
        <v/>
      </c>
      <c r="L56" s="2" t="inlineStr">
        <is>
          <t>producentens mål</t>
        </is>
      </c>
      <c r="M56" s="2" t="inlineStr">
        <is>
          <t>LG-tegning 2023</t>
        </is>
      </c>
      <c r="N56" s="2" t="inlineStr">
        <is>
          <t>LG's officielle bagside-tegning 2023: X1 = 143 mm. Højden er regnet som X1 + VESA + W (ca. 1 cm usikkerhed).</t>
        </is>
      </c>
    </row>
    <row r="57">
      <c r="A57" s="2" t="inlineStr">
        <is>
          <t>LG</t>
        </is>
      </c>
      <c r="B57" s="2" t="inlineStr">
        <is>
          <t>OLED B2</t>
        </is>
      </c>
      <c r="C57" s="2" t="inlineStr">
        <is>
          <t>OLED B26</t>
        </is>
      </c>
      <c r="D57" s="2" t="inlineStr">
        <is>
          <t>OLED77B26LA, OLED77B29LA, OLED77B23LA</t>
        </is>
      </c>
      <c r="E57" s="3" t="n">
        <v>77</v>
      </c>
      <c r="F57" s="3" t="n">
        <v>2022</v>
      </c>
      <c r="G57" s="4" t="n">
        <v>98.90000000000001</v>
      </c>
      <c r="H57" s="3" t="n">
        <v>400</v>
      </c>
      <c r="I57" s="3" t="n">
        <v>200</v>
      </c>
      <c r="J57" s="4" t="n"/>
      <c r="K57" s="4">
        <f>IF(ISNUMBER(J57),J57+I57/10,"")</f>
        <v/>
      </c>
      <c r="L57" s="2" t="inlineStr">
        <is>
          <t>estimat</t>
        </is>
      </c>
      <c r="M57" s="2" t="inlineStr"/>
      <c r="N57" s="2" t="inlineStr">
        <is>
          <t>VESA 300×200 → 400×200 efter LG's produktside.</t>
        </is>
      </c>
    </row>
    <row r="58">
      <c r="A58" s="2" t="inlineStr">
        <is>
          <t>LG</t>
        </is>
      </c>
      <c r="B58" s="2" t="inlineStr">
        <is>
          <t>OLED B2</t>
        </is>
      </c>
      <c r="C58" s="2" t="inlineStr">
        <is>
          <t>OLED B26</t>
        </is>
      </c>
      <c r="D58" s="2" t="inlineStr">
        <is>
          <t>OLED65B26LA, OLED65B29LA, OLED65B23LA</t>
        </is>
      </c>
      <c r="E58" s="3" t="n">
        <v>65</v>
      </c>
      <c r="F58" s="3" t="n">
        <v>2022</v>
      </c>
      <c r="G58" s="4" t="n">
        <v>83.2</v>
      </c>
      <c r="H58" s="3" t="n">
        <v>300</v>
      </c>
      <c r="I58" s="3" t="n">
        <v>200</v>
      </c>
      <c r="J58" s="4" t="n">
        <v>14.2</v>
      </c>
      <c r="K58" s="4">
        <f>IF(ISNUMBER(J58),J58+I58/10,"")</f>
        <v/>
      </c>
      <c r="L58" s="2" t="inlineStr">
        <is>
          <t>billedmålt</t>
        </is>
      </c>
      <c r="M58" s="2" t="inlineStr">
        <is>
          <t>Icecat</t>
        </is>
      </c>
      <c r="N58" s="2" t="inlineStr">
        <is>
          <t>Billedmålt på Icecat-foto: nederste VESA-hul 14,2 cm fra underkant, målt ud fra VESA 300×200 som skala. Usikkerhed ca. ±1 cm. Billedkontrol (LG): 14,1 cm.</t>
        </is>
      </c>
    </row>
    <row r="59">
      <c r="A59" s="2" t="inlineStr">
        <is>
          <t>LG</t>
        </is>
      </c>
      <c r="B59" s="2" t="inlineStr">
        <is>
          <t>OLED B2</t>
        </is>
      </c>
      <c r="C59" s="2" t="inlineStr">
        <is>
          <t>OLED B26</t>
        </is>
      </c>
      <c r="D59" s="2" t="inlineStr">
        <is>
          <t>OLED55B26LA, OLED55B23LA, OLED55B29LA</t>
        </is>
      </c>
      <c r="E59" s="3" t="n">
        <v>55</v>
      </c>
      <c r="F59" s="3" t="n">
        <v>2022</v>
      </c>
      <c r="G59" s="4" t="n">
        <v>70.8</v>
      </c>
      <c r="H59" s="3" t="n">
        <v>300</v>
      </c>
      <c r="I59" s="3" t="n">
        <v>200</v>
      </c>
      <c r="J59" s="4" t="n">
        <v>14.2</v>
      </c>
      <c r="K59" s="4">
        <f>IF(ISNUMBER(J59),J59+I59/10,"")</f>
        <v/>
      </c>
      <c r="L59" s="2" t="inlineStr">
        <is>
          <t>billedmålt</t>
        </is>
      </c>
      <c r="M59" s="2" t="inlineStr">
        <is>
          <t>Icecat</t>
        </is>
      </c>
      <c r="N59" s="2" t="inlineStr">
        <is>
          <t>Billedmålt på Icecat-foto: nederste VESA-hul 14,2 cm fra underkant, målt ud fra VESA 300×200 som skala. Usikkerhed ca. ±1 cm. Billedkontrol (LG): 14,1 cm.</t>
        </is>
      </c>
    </row>
    <row r="60">
      <c r="A60" s="2" t="inlineStr">
        <is>
          <t>LG</t>
        </is>
      </c>
      <c r="B60" s="2" t="inlineStr">
        <is>
          <t>OLED B3</t>
        </is>
      </c>
      <c r="C60" s="2" t="inlineStr">
        <is>
          <t>OLED B36</t>
        </is>
      </c>
      <c r="D60" s="2" t="inlineStr">
        <is>
          <t>OLED77B36LA, OLED77B39LA</t>
        </is>
      </c>
      <c r="E60" s="3" t="n">
        <v>77</v>
      </c>
      <c r="F60" s="3" t="n">
        <v>2023</v>
      </c>
      <c r="G60" s="4" t="n">
        <v>99.2</v>
      </c>
      <c r="H60" s="3" t="n">
        <v>400</v>
      </c>
      <c r="I60" s="3" t="n">
        <v>200</v>
      </c>
      <c r="J60" s="4" t="n">
        <v>20.7</v>
      </c>
      <c r="K60" s="4">
        <f>IF(ISNUMBER(J60),J60+I60/10,"")</f>
        <v/>
      </c>
      <c r="L60" s="2" t="inlineStr">
        <is>
          <t>producentens mål</t>
        </is>
      </c>
      <c r="M60" s="2" t="inlineStr">
        <is>
          <t>LG-tegning 2023</t>
        </is>
      </c>
      <c r="N60" s="2" t="inlineStr">
        <is>
          <t>Hulplacering fra LG's officielle bagside-tegning 2023 (OLEDB3 77″, X1 = 207 mm). Højde og VESA fra LG's side. Billedkontrol (LG): 19,9 cm.</t>
        </is>
      </c>
    </row>
    <row r="61">
      <c r="A61" s="2" t="inlineStr">
        <is>
          <t>LG</t>
        </is>
      </c>
      <c r="B61" s="2" t="inlineStr">
        <is>
          <t>OLED B3</t>
        </is>
      </c>
      <c r="C61" s="2" t="inlineStr">
        <is>
          <t>OLED B36</t>
        </is>
      </c>
      <c r="D61" s="2" t="inlineStr">
        <is>
          <t>OLED65B36LA, OLED65B39LA</t>
        </is>
      </c>
      <c r="E61" s="3" t="n">
        <v>65</v>
      </c>
      <c r="F61" s="3" t="n">
        <v>2023</v>
      </c>
      <c r="G61" s="4" t="n">
        <v>83.2</v>
      </c>
      <c r="H61" s="3" t="n">
        <v>300</v>
      </c>
      <c r="I61" s="3" t="n">
        <v>200</v>
      </c>
      <c r="J61" s="4" t="n">
        <v>14.4</v>
      </c>
      <c r="K61" s="4">
        <f>IF(ISNUMBER(J61),J61+I61/10,"")</f>
        <v/>
      </c>
      <c r="L61" s="2" t="inlineStr">
        <is>
          <t>producentens mål</t>
        </is>
      </c>
      <c r="M61" s="2" t="inlineStr">
        <is>
          <t>LG-tegning 2023</t>
        </is>
      </c>
      <c r="N61" s="2" t="inlineStr">
        <is>
          <t>Hulplacering fra LG's officielle bagside-tegning 2023 (OLEDB3 65″, X1 = 144 mm). Højde og VESA fra LG's side. Billedkontrol (LG): 14,2 cm.</t>
        </is>
      </c>
    </row>
    <row r="62">
      <c r="A62" s="2" t="inlineStr">
        <is>
          <t>LG</t>
        </is>
      </c>
      <c r="B62" s="2" t="inlineStr">
        <is>
          <t>OLED B3</t>
        </is>
      </c>
      <c r="C62" s="2" t="inlineStr">
        <is>
          <t>OLED B36</t>
        </is>
      </c>
      <c r="D62" s="2" t="inlineStr">
        <is>
          <t>OLED55B36LA, OLED55B39LA</t>
        </is>
      </c>
      <c r="E62" s="3" t="n">
        <v>55</v>
      </c>
      <c r="F62" s="3" t="n">
        <v>2023</v>
      </c>
      <c r="G62" s="4" t="n">
        <v>70.8</v>
      </c>
      <c r="H62" s="3" t="n">
        <v>300</v>
      </c>
      <c r="I62" s="3" t="n">
        <v>200</v>
      </c>
      <c r="J62" s="4" t="n">
        <v>14.4</v>
      </c>
      <c r="K62" s="4">
        <f>IF(ISNUMBER(J62),J62+I62/10,"")</f>
        <v/>
      </c>
      <c r="L62" s="2" t="inlineStr">
        <is>
          <t>producentens mål</t>
        </is>
      </c>
      <c r="M62" s="2" t="inlineStr">
        <is>
          <t>LG-tegning 2023</t>
        </is>
      </c>
      <c r="N62" s="2" t="inlineStr">
        <is>
          <t>Hulplacering fra LG's officielle bagside-tegning 2023 (OLEDB3 55″, X1 = 144 mm). Højde og VESA fra LG's side. Billedkontrol (Icecat): 14,2 cm. Billedkontrol (LG): 14,2 cm.</t>
        </is>
      </c>
    </row>
    <row r="63">
      <c r="A63" s="2" t="inlineStr">
        <is>
          <t>LG</t>
        </is>
      </c>
      <c r="B63" s="2" t="inlineStr">
        <is>
          <t>OLED B4</t>
        </is>
      </c>
      <c r="C63" s="2" t="inlineStr">
        <is>
          <t>OLED B46</t>
        </is>
      </c>
      <c r="D63" s="2" t="inlineStr">
        <is>
          <t>OLED83B46LA, OLED83B49LA</t>
        </is>
      </c>
      <c r="E63" s="3" t="n">
        <v>83</v>
      </c>
      <c r="F63" s="3" t="n">
        <v>2024</v>
      </c>
      <c r="G63" s="4" t="n">
        <v>106.2</v>
      </c>
      <c r="H63" s="3" t="n">
        <v>400</v>
      </c>
      <c r="I63" s="3" t="n">
        <v>400</v>
      </c>
      <c r="J63" s="4" t="n">
        <v>10.6</v>
      </c>
      <c r="K63" s="4">
        <f>IF(ISNUMBER(J63),J63+I63/10,"")</f>
        <v/>
      </c>
      <c r="L63" s="2" t="inlineStr">
        <is>
          <t>billedmålt</t>
        </is>
      </c>
      <c r="M63" s="2" t="inlineStr">
        <is>
          <t>LG</t>
        </is>
      </c>
      <c r="N63" s="2" t="inlineStr">
        <is>
          <t>Billedmålt på LG-foto: nederste VESA-hul 10,6 cm fra underkant, målt ud fra VESA 400×400 som skala. Usikkerhed ca. ±1 cm.</t>
        </is>
      </c>
    </row>
    <row r="64">
      <c r="A64" s="2" t="inlineStr">
        <is>
          <t>LG</t>
        </is>
      </c>
      <c r="B64" s="2" t="inlineStr">
        <is>
          <t>OLED B4</t>
        </is>
      </c>
      <c r="C64" s="2" t="inlineStr">
        <is>
          <t>OLED B42</t>
        </is>
      </c>
      <c r="D64" s="2" t="inlineStr">
        <is>
          <t>OLED77B42LA</t>
        </is>
      </c>
      <c r="E64" s="3" t="n">
        <v>77</v>
      </c>
      <c r="F64" s="3" t="n">
        <v>2024</v>
      </c>
      <c r="G64" s="4" t="n">
        <v>98.90000000000001</v>
      </c>
      <c r="H64" s="3" t="n">
        <v>300</v>
      </c>
      <c r="I64" s="3" t="n">
        <v>200</v>
      </c>
      <c r="J64" s="4" t="n">
        <v>18.7</v>
      </c>
      <c r="K64" s="4">
        <f>IF(ISNUMBER(J64),J64+I64/10,"")</f>
        <v/>
      </c>
      <c r="L64" s="2" t="inlineStr">
        <is>
          <t>samme bagside</t>
        </is>
      </c>
      <c r="M64" s="2" t="inlineStr">
        <is>
          <t>Icecat</t>
        </is>
      </c>
      <c r="N64" s="2" t="inlineStr">
        <is>
          <t>Samme serie, årgang, størrelse og VESA som OLED77B4ELA (18,7 cm). Regional variant med samme bagside.</t>
        </is>
      </c>
    </row>
    <row r="65">
      <c r="A65" s="2" t="inlineStr">
        <is>
          <t>LG</t>
        </is>
      </c>
      <c r="B65" s="2" t="inlineStr">
        <is>
          <t>OLED B4</t>
        </is>
      </c>
      <c r="C65" s="2" t="inlineStr">
        <is>
          <t>OLED B46</t>
        </is>
      </c>
      <c r="D65" s="2" t="inlineStr">
        <is>
          <t>OLED77B46LA</t>
        </is>
      </c>
      <c r="E65" s="3" t="n">
        <v>77</v>
      </c>
      <c r="F65" s="3" t="n">
        <v>2024</v>
      </c>
      <c r="G65" s="4" t="n">
        <v>98.90000000000001</v>
      </c>
      <c r="H65" s="3" t="n">
        <v>300</v>
      </c>
      <c r="I65" s="3" t="n">
        <v>200</v>
      </c>
      <c r="J65" s="4" t="n">
        <v>18.7</v>
      </c>
      <c r="K65" s="4">
        <f>IF(ISNUMBER(J65),J65+I65/10,"")</f>
        <v/>
      </c>
      <c r="L65" s="2" t="inlineStr">
        <is>
          <t>billedmålt</t>
        </is>
      </c>
      <c r="M65" s="2" t="inlineStr">
        <is>
          <t>Icecat</t>
        </is>
      </c>
      <c r="N65" s="2" t="inlineStr">
        <is>
          <t>Billedmålt på Icecat-foto: nederste VESA-hul 18,7 cm fra underkant, målt ud fra VESA 300×200 som skala. Usikkerhed ca. ±1 cm.</t>
        </is>
      </c>
    </row>
    <row r="66">
      <c r="A66" s="2" t="inlineStr">
        <is>
          <t>LG</t>
        </is>
      </c>
      <c r="B66" s="2" t="inlineStr">
        <is>
          <t>OLED B4</t>
        </is>
      </c>
      <c r="C66" s="2" t="inlineStr">
        <is>
          <t>OLED B4</t>
        </is>
      </c>
      <c r="D66" s="2" t="inlineStr">
        <is>
          <t>OLED77B4ELA, OLED77B49LA, OLED77B4SC9</t>
        </is>
      </c>
      <c r="E66" s="3" t="n">
        <v>77</v>
      </c>
      <c r="F66" s="3" t="n">
        <v>2024</v>
      </c>
      <c r="G66" s="4" t="n">
        <v>98.90000000000001</v>
      </c>
      <c r="H66" s="3" t="n">
        <v>300</v>
      </c>
      <c r="I66" s="3" t="n">
        <v>200</v>
      </c>
      <c r="J66" s="4" t="n">
        <v>18.7</v>
      </c>
      <c r="K66" s="4">
        <f>IF(ISNUMBER(J66),J66+I66/10,"")</f>
        <v/>
      </c>
      <c r="L66" s="2" t="inlineStr">
        <is>
          <t>billedmålt</t>
        </is>
      </c>
      <c r="M66" s="2" t="inlineStr">
        <is>
          <t>Icecat</t>
        </is>
      </c>
      <c r="N66" s="2" t="inlineStr">
        <is>
          <t>Billedmålt på Icecat-foto: nederste VESA-hul 18,7 cm fra underkant, målt ud fra VESA 300×200 som skala. Usikkerhed ca. ±1 cm. Billedkontrol (LG): 18,7 cm.</t>
        </is>
      </c>
    </row>
    <row r="67">
      <c r="A67" s="2" t="inlineStr">
        <is>
          <t>LG</t>
        </is>
      </c>
      <c r="B67" s="2" t="inlineStr">
        <is>
          <t>OLED B4</t>
        </is>
      </c>
      <c r="C67" s="2" t="inlineStr">
        <is>
          <t>OLED B42</t>
        </is>
      </c>
      <c r="D67" s="2" t="inlineStr">
        <is>
          <t>OLED65B42LA</t>
        </is>
      </c>
      <c r="E67" s="3" t="n">
        <v>65</v>
      </c>
      <c r="F67" s="3" t="n">
        <v>2024</v>
      </c>
      <c r="G67" s="4" t="n">
        <v>83.2</v>
      </c>
      <c r="H67" s="3" t="n">
        <v>300</v>
      </c>
      <c r="I67" s="3" t="n">
        <v>200</v>
      </c>
      <c r="J67" s="4" t="n"/>
      <c r="K67" s="4">
        <f>IF(ISNUMBER(J67),J67+I67/10,"")</f>
        <v/>
      </c>
      <c r="L67" s="2" t="inlineStr">
        <is>
          <t>estimat</t>
        </is>
      </c>
      <c r="M67" s="2" t="inlineStr"/>
      <c r="N67" s="2" t="inlineStr"/>
    </row>
    <row r="68">
      <c r="A68" s="2" t="inlineStr">
        <is>
          <t>LG</t>
        </is>
      </c>
      <c r="B68" s="2" t="inlineStr">
        <is>
          <t>OLED B4</t>
        </is>
      </c>
      <c r="C68" s="2" t="inlineStr">
        <is>
          <t>OLED B46</t>
        </is>
      </c>
      <c r="D68" s="2" t="inlineStr">
        <is>
          <t>OLED65B46LA</t>
        </is>
      </c>
      <c r="E68" s="3" t="n">
        <v>65</v>
      </c>
      <c r="F68" s="3" t="n">
        <v>2024</v>
      </c>
      <c r="G68" s="4" t="n">
        <v>83.2</v>
      </c>
      <c r="H68" s="3" t="n">
        <v>300</v>
      </c>
      <c r="I68" s="3" t="n">
        <v>200</v>
      </c>
      <c r="J68" s="4" t="n"/>
      <c r="K68" s="4">
        <f>IF(ISNUMBER(J68),J68+I68/10,"")</f>
        <v/>
      </c>
      <c r="L68" s="2" t="inlineStr">
        <is>
          <t>estimat</t>
        </is>
      </c>
      <c r="M68" s="2" t="inlineStr"/>
      <c r="N68" s="2" t="inlineStr"/>
    </row>
    <row r="69">
      <c r="A69" s="2" t="inlineStr">
        <is>
          <t>LG</t>
        </is>
      </c>
      <c r="B69" s="2" t="inlineStr">
        <is>
          <t>OLED B4</t>
        </is>
      </c>
      <c r="C69" s="2" t="inlineStr">
        <is>
          <t>OLED B4</t>
        </is>
      </c>
      <c r="D69" s="2" t="inlineStr">
        <is>
          <t>OLED65B4ELA, OLED65B49LA, OLED65B4SC9</t>
        </is>
      </c>
      <c r="E69" s="3" t="n">
        <v>65</v>
      </c>
      <c r="F69" s="3" t="n">
        <v>2024</v>
      </c>
      <c r="G69" s="4" t="n">
        <v>83.2</v>
      </c>
      <c r="H69" s="3" t="n">
        <v>300</v>
      </c>
      <c r="I69" s="3" t="n">
        <v>200</v>
      </c>
      <c r="J69" s="4" t="n"/>
      <c r="K69" s="4">
        <f>IF(ISNUMBER(J69),J69+I69/10,"")</f>
        <v/>
      </c>
      <c r="L69" s="2" t="inlineStr">
        <is>
          <t>estimat</t>
        </is>
      </c>
      <c r="M69" s="2" t="inlineStr"/>
      <c r="N69" s="2" t="inlineStr"/>
    </row>
    <row r="70">
      <c r="A70" s="2" t="inlineStr">
        <is>
          <t>LG</t>
        </is>
      </c>
      <c r="B70" s="2" t="inlineStr">
        <is>
          <t>OLED B4</t>
        </is>
      </c>
      <c r="C70" s="2" t="inlineStr">
        <is>
          <t>OLED B42</t>
        </is>
      </c>
      <c r="D70" s="2" t="inlineStr">
        <is>
          <t>OLED55B42LA</t>
        </is>
      </c>
      <c r="E70" s="3" t="n">
        <v>55</v>
      </c>
      <c r="F70" s="3" t="n">
        <v>2024</v>
      </c>
      <c r="G70" s="4" t="n">
        <v>70.8</v>
      </c>
      <c r="H70" s="3" t="n">
        <v>300</v>
      </c>
      <c r="I70" s="3" t="n">
        <v>200</v>
      </c>
      <c r="J70" s="4" t="n">
        <v>13.7</v>
      </c>
      <c r="K70" s="4">
        <f>IF(ISNUMBER(J70),J70+I70/10,"")</f>
        <v/>
      </c>
      <c r="L70" s="2" t="inlineStr">
        <is>
          <t>samme bagside</t>
        </is>
      </c>
      <c r="M70" s="2" t="inlineStr">
        <is>
          <t>Icecat</t>
        </is>
      </c>
      <c r="N70" s="2" t="inlineStr">
        <is>
          <t>Samme serie, årgang, størrelse og VESA som OLED55B4ELA (13,7 cm). Regional variant med samme bagside.</t>
        </is>
      </c>
    </row>
    <row r="71">
      <c r="A71" s="2" t="inlineStr">
        <is>
          <t>LG</t>
        </is>
      </c>
      <c r="B71" s="2" t="inlineStr">
        <is>
          <t>OLED B4</t>
        </is>
      </c>
      <c r="C71" s="2" t="inlineStr">
        <is>
          <t>OLED B46</t>
        </is>
      </c>
      <c r="D71" s="2" t="inlineStr">
        <is>
          <t>OLED55B46LA</t>
        </is>
      </c>
      <c r="E71" s="3" t="n">
        <v>55</v>
      </c>
      <c r="F71" s="3" t="n">
        <v>2024</v>
      </c>
      <c r="G71" s="4" t="n">
        <v>70.8</v>
      </c>
      <c r="H71" s="3" t="n">
        <v>300</v>
      </c>
      <c r="I71" s="3" t="n">
        <v>200</v>
      </c>
      <c r="J71" s="4" t="n">
        <v>13.6</v>
      </c>
      <c r="K71" s="4">
        <f>IF(ISNUMBER(J71),J71+I71/10,"")</f>
        <v/>
      </c>
      <c r="L71" s="2" t="inlineStr">
        <is>
          <t>billedmålt</t>
        </is>
      </c>
      <c r="M71" s="2" t="inlineStr">
        <is>
          <t>Icecat</t>
        </is>
      </c>
      <c r="N71" s="2" t="inlineStr">
        <is>
          <t>Billedmålt på Icecat-foto: nederste VESA-hul 13,6 cm fra underkant, målt ud fra VESA 300×200 som skala. Usikkerhed ca. ±1 cm.</t>
        </is>
      </c>
    </row>
    <row r="72">
      <c r="A72" s="2" t="inlineStr">
        <is>
          <t>LG</t>
        </is>
      </c>
      <c r="B72" s="2" t="inlineStr">
        <is>
          <t>OLED B4</t>
        </is>
      </c>
      <c r="C72" s="2" t="inlineStr">
        <is>
          <t>OLED B4</t>
        </is>
      </c>
      <c r="D72" s="2" t="inlineStr">
        <is>
          <t>OLED55B4ELA, OLED55B49LA, OLED55B4SC9</t>
        </is>
      </c>
      <c r="E72" s="3" t="n">
        <v>55</v>
      </c>
      <c r="F72" s="3" t="n">
        <v>2024</v>
      </c>
      <c r="G72" s="4" t="n">
        <v>70.8</v>
      </c>
      <c r="H72" s="3" t="n">
        <v>300</v>
      </c>
      <c r="I72" s="3" t="n">
        <v>200</v>
      </c>
      <c r="J72" s="4" t="n">
        <v>13.7</v>
      </c>
      <c r="K72" s="4">
        <f>IF(ISNUMBER(J72),J72+I72/10,"")</f>
        <v/>
      </c>
      <c r="L72" s="2" t="inlineStr">
        <is>
          <t>billedmålt</t>
        </is>
      </c>
      <c r="M72" s="2" t="inlineStr">
        <is>
          <t>Icecat</t>
        </is>
      </c>
      <c r="N72" s="2" t="inlineStr">
        <is>
          <t>Billedmålt på Icecat-foto: nederste VESA-hul 13,7 cm fra underkant, målt ud fra VESA 300×200 som skala. Usikkerhed ca. ±1 cm. Billedkontrol (LG): 13,6 cm.</t>
        </is>
      </c>
    </row>
    <row r="73">
      <c r="A73" s="2" t="inlineStr">
        <is>
          <t>LG</t>
        </is>
      </c>
      <c r="B73" s="2" t="inlineStr">
        <is>
          <t>OLED B4</t>
        </is>
      </c>
      <c r="C73" s="2" t="inlineStr">
        <is>
          <t>OLED B46</t>
        </is>
      </c>
      <c r="D73" s="2" t="inlineStr">
        <is>
          <t>OLED48B46LA, OLED48B49LA</t>
        </is>
      </c>
      <c r="E73" s="3" t="n">
        <v>48</v>
      </c>
      <c r="F73" s="3" t="n">
        <v>2024</v>
      </c>
      <c r="G73" s="4" t="n">
        <v>62</v>
      </c>
      <c r="H73" s="3" t="n">
        <v>300</v>
      </c>
      <c r="I73" s="3" t="n">
        <v>200</v>
      </c>
      <c r="J73" s="4" t="n">
        <v>13.6</v>
      </c>
      <c r="K73" s="4">
        <f>IF(ISNUMBER(J73),J73+I73/10,"")</f>
        <v/>
      </c>
      <c r="L73" s="2" t="inlineStr">
        <is>
          <t>billedmålt</t>
        </is>
      </c>
      <c r="M73" s="2" t="inlineStr">
        <is>
          <t>Icecat</t>
        </is>
      </c>
      <c r="N73" s="2" t="inlineStr">
        <is>
          <t>Billedmålt på Icecat-foto: nederste VESA-hul 13,6 cm fra underkant, målt ud fra VESA 300×200 som skala. Usikkerhed ca. ±1 cm.</t>
        </is>
      </c>
    </row>
    <row r="74">
      <c r="A74" s="2" t="inlineStr">
        <is>
          <t>LG</t>
        </is>
      </c>
      <c r="B74" s="2" t="inlineStr">
        <is>
          <t>OLED B5</t>
        </is>
      </c>
      <c r="C74" s="2" t="inlineStr">
        <is>
          <t>OLED B56</t>
        </is>
      </c>
      <c r="D74" s="2" t="inlineStr">
        <is>
          <t>OLED83B56LA, OLED83B59LA, OLED83B56</t>
        </is>
      </c>
      <c r="E74" s="3" t="n">
        <v>83</v>
      </c>
      <c r="F74" s="3" t="n">
        <v>2025</v>
      </c>
      <c r="G74" s="4" t="n">
        <v>105.5</v>
      </c>
      <c r="H74" s="3" t="n">
        <v>400</v>
      </c>
      <c r="I74" s="3" t="n">
        <v>400</v>
      </c>
      <c r="J74" s="4" t="n"/>
      <c r="K74" s="4">
        <f>IF(ISNUMBER(J74),J74+I74/10,"")</f>
        <v/>
      </c>
      <c r="L74" s="2" t="inlineStr">
        <is>
          <t>estimat</t>
        </is>
      </c>
      <c r="M74" s="2" t="inlineStr"/>
      <c r="N74" s="2" t="inlineStr"/>
    </row>
    <row r="75">
      <c r="A75" s="2" t="inlineStr">
        <is>
          <t>LG</t>
        </is>
      </c>
      <c r="B75" s="2" t="inlineStr">
        <is>
          <t>OLED B5</t>
        </is>
      </c>
      <c r="C75" s="2" t="inlineStr">
        <is>
          <t>OLED B56</t>
        </is>
      </c>
      <c r="D75" s="2" t="inlineStr">
        <is>
          <t>OLED77B56LA, OLED77B59LA, OLED77B56</t>
        </is>
      </c>
      <c r="E75" s="3" t="n">
        <v>77</v>
      </c>
      <c r="F75" s="3" t="n">
        <v>2025</v>
      </c>
      <c r="G75" s="4" t="n">
        <v>98.90000000000001</v>
      </c>
      <c r="H75" s="3" t="n">
        <v>300</v>
      </c>
      <c r="I75" s="3" t="n">
        <v>200</v>
      </c>
      <c r="J75" s="4" t="n">
        <v>19.4</v>
      </c>
      <c r="K75" s="4">
        <f>IF(ISNUMBER(J75),J75+I75/10,"")</f>
        <v/>
      </c>
      <c r="L75" s="2" t="inlineStr">
        <is>
          <t>billedmålt</t>
        </is>
      </c>
      <c r="M75" s="2" t="inlineStr">
        <is>
          <t>Icecat</t>
        </is>
      </c>
      <c r="N75" s="2" t="inlineStr">
        <is>
          <t>Billedmålt på Icecat-foto: nederste VESA-hul 19,4 cm fra underkant, målt ud fra VESA 300×200 som skala. Usikkerhed ca. ±1 cm.</t>
        </is>
      </c>
    </row>
    <row r="76">
      <c r="A76" s="2" t="inlineStr">
        <is>
          <t>LG</t>
        </is>
      </c>
      <c r="B76" s="2" t="inlineStr">
        <is>
          <t>OLED B5</t>
        </is>
      </c>
      <c r="C76" s="2" t="inlineStr">
        <is>
          <t>OLED B56</t>
        </is>
      </c>
      <c r="D76" s="2" t="inlineStr">
        <is>
          <t>OLED65B56LA, OLED65B59LA, OLED65B56, OLED65B56LA1</t>
        </is>
      </c>
      <c r="E76" s="3" t="n">
        <v>65</v>
      </c>
      <c r="F76" s="3" t="n">
        <v>2025</v>
      </c>
      <c r="G76" s="4" t="n">
        <v>83.2</v>
      </c>
      <c r="H76" s="3" t="n">
        <v>300</v>
      </c>
      <c r="I76" s="3" t="n">
        <v>200</v>
      </c>
      <c r="J76" s="4" t="n">
        <v>13.8</v>
      </c>
      <c r="K76" s="4">
        <f>IF(ISNUMBER(J76),J76+I76/10,"")</f>
        <v/>
      </c>
      <c r="L76" s="2" t="inlineStr">
        <is>
          <t>billedmålt</t>
        </is>
      </c>
      <c r="M76" s="2" t="inlineStr">
        <is>
          <t>Which?</t>
        </is>
      </c>
      <c r="N76" s="2" t="inlineStr">
        <is>
          <t>Billedmålt på Which?-foto (lg-oled65b56la): nederste VESA-hul 13,8 cm fra underkant, målt ud fra VESA 300×200 som skala. Usikkerhed ca. ±1 cm.</t>
        </is>
      </c>
    </row>
    <row r="77">
      <c r="A77" s="2" t="inlineStr">
        <is>
          <t>LG</t>
        </is>
      </c>
      <c r="B77" s="2" t="inlineStr">
        <is>
          <t>OLED B5</t>
        </is>
      </c>
      <c r="C77" s="2" t="inlineStr">
        <is>
          <t>OLED B56</t>
        </is>
      </c>
      <c r="D77" s="2" t="inlineStr">
        <is>
          <t>OLED55B56LA, OLED55B59LA, OLED55B56</t>
        </is>
      </c>
      <c r="E77" s="3" t="n">
        <v>55</v>
      </c>
      <c r="F77" s="3" t="n">
        <v>2025</v>
      </c>
      <c r="G77" s="4" t="n">
        <v>70.8</v>
      </c>
      <c r="H77" s="3" t="n">
        <v>300</v>
      </c>
      <c r="I77" s="3" t="n">
        <v>200</v>
      </c>
      <c r="J77" s="4" t="n">
        <v>13.8</v>
      </c>
      <c r="K77" s="4">
        <f>IF(ISNUMBER(J77),J77+I77/10,"")</f>
        <v/>
      </c>
      <c r="L77" s="2" t="inlineStr">
        <is>
          <t>billedmålt</t>
        </is>
      </c>
      <c r="M77" s="2" t="inlineStr">
        <is>
          <t>Which?</t>
        </is>
      </c>
      <c r="N77" s="2" t="inlineStr">
        <is>
          <t>Billedmålt på Which?-foto (lg-oled55b56la): nederste VESA-hul 13,8 cm fra underkant, målt ud fra VESA 300×200 som skala. Usikkerhed ca. ±1 cm. Billedkontrol (Elgiganten): 14,3 cm.</t>
        </is>
      </c>
    </row>
    <row r="78">
      <c r="A78" s="2" t="inlineStr">
        <is>
          <t>LG</t>
        </is>
      </c>
      <c r="B78" s="2" t="inlineStr">
        <is>
          <t>OLED B5</t>
        </is>
      </c>
      <c r="C78" s="2" t="inlineStr">
        <is>
          <t>OLED B56</t>
        </is>
      </c>
      <c r="D78" s="2" t="inlineStr">
        <is>
          <t>OLED48B56LA, OLED48B59LA</t>
        </is>
      </c>
      <c r="E78" s="3" t="n">
        <v>48</v>
      </c>
      <c r="F78" s="3" t="n">
        <v>2025</v>
      </c>
      <c r="G78" s="4" t="n">
        <v>62</v>
      </c>
      <c r="H78" s="3" t="n">
        <v>300</v>
      </c>
      <c r="I78" s="3" t="n">
        <v>200</v>
      </c>
      <c r="J78" s="4" t="n">
        <v>13.6</v>
      </c>
      <c r="K78" s="4">
        <f>IF(ISNUMBER(J78),J78+I78/10,"")</f>
        <v/>
      </c>
      <c r="L78" s="2" t="inlineStr">
        <is>
          <t>billedmålt</t>
        </is>
      </c>
      <c r="M78" s="2" t="inlineStr">
        <is>
          <t>Which?</t>
        </is>
      </c>
      <c r="N78" s="2" t="inlineStr">
        <is>
          <t>Billedmålt på Which?-foto (lg-oled48b56la): nederste VESA-hul 13,6 cm fra underkant, målt ud fra VESA 300×200 som skala. Usikkerhed ca. ±1 cm. Billedkontrol (LG): 14,3 cm.</t>
        </is>
      </c>
    </row>
    <row r="79">
      <c r="A79" s="2" t="inlineStr">
        <is>
          <t>LG</t>
        </is>
      </c>
      <c r="B79" s="2" t="inlineStr">
        <is>
          <t>OLED B6</t>
        </is>
      </c>
      <c r="C79" s="2" t="inlineStr">
        <is>
          <t>OLED B65</t>
        </is>
      </c>
      <c r="D79" s="2" t="inlineStr">
        <is>
          <t>OLED83B65LA</t>
        </is>
      </c>
      <c r="E79" s="3" t="n">
        <v>83</v>
      </c>
      <c r="F79" s="3" t="n">
        <v>2026</v>
      </c>
      <c r="G79" s="4" t="n">
        <v>105.5</v>
      </c>
      <c r="H79" s="3" t="n">
        <v>400</v>
      </c>
      <c r="I79" s="3" t="n">
        <v>400</v>
      </c>
      <c r="J79" s="4" t="n"/>
      <c r="K79" s="4">
        <f>IF(ISNUMBER(J79),J79+I79/10,"")</f>
        <v/>
      </c>
      <c r="L79" s="2" t="inlineStr">
        <is>
          <t>estimat</t>
        </is>
      </c>
      <c r="M79" s="2" t="inlineStr"/>
      <c r="N79" s="2" t="inlineStr"/>
    </row>
    <row r="80">
      <c r="A80" s="2" t="inlineStr">
        <is>
          <t>LG</t>
        </is>
      </c>
      <c r="B80" s="2" t="inlineStr">
        <is>
          <t>OLED B6</t>
        </is>
      </c>
      <c r="C80" s="2" t="inlineStr">
        <is>
          <t>OLED B6</t>
        </is>
      </c>
      <c r="D80" s="2" t="inlineStr">
        <is>
          <t>OLED83B6ELB, OLED83B66LA, OLED83B68LA, OLED83B6, OLED83B6E</t>
        </is>
      </c>
      <c r="E80" s="3" t="n">
        <v>83</v>
      </c>
      <c r="F80" s="3" t="n">
        <v>2026</v>
      </c>
      <c r="G80" s="4" t="n">
        <v>105.5</v>
      </c>
      <c r="H80" s="3" t="n">
        <v>400</v>
      </c>
      <c r="I80" s="3" t="n">
        <v>400</v>
      </c>
      <c r="J80" s="4" t="n"/>
      <c r="K80" s="4">
        <f>IF(ISNUMBER(J80),J80+I80/10,"")</f>
        <v/>
      </c>
      <c r="L80" s="2" t="inlineStr">
        <is>
          <t>estimat</t>
        </is>
      </c>
      <c r="M80" s="2" t="inlineStr"/>
      <c r="N80" s="2" t="inlineStr"/>
    </row>
    <row r="81">
      <c r="A81" s="2" t="inlineStr">
        <is>
          <t>LG</t>
        </is>
      </c>
      <c r="B81" s="2" t="inlineStr">
        <is>
          <t>OLED B6</t>
        </is>
      </c>
      <c r="C81" s="2" t="inlineStr">
        <is>
          <t>OLED B65</t>
        </is>
      </c>
      <c r="D81" s="2" t="inlineStr">
        <is>
          <t>OLED77B65LA</t>
        </is>
      </c>
      <c r="E81" s="3" t="n">
        <v>77</v>
      </c>
      <c r="F81" s="3" t="n">
        <v>2026</v>
      </c>
      <c r="G81" s="4" t="n">
        <v>98.90000000000001</v>
      </c>
      <c r="H81" s="3" t="n">
        <v>300</v>
      </c>
      <c r="I81" s="3" t="n">
        <v>200</v>
      </c>
      <c r="J81" s="4" t="n">
        <v>19.1</v>
      </c>
      <c r="K81" s="4">
        <f>IF(ISNUMBER(J81),J81+I81/10,"")</f>
        <v/>
      </c>
      <c r="L81" s="2" t="inlineStr">
        <is>
          <t>billedmålt</t>
        </is>
      </c>
      <c r="M81" s="2" t="inlineStr">
        <is>
          <t>Which?</t>
        </is>
      </c>
      <c r="N81" s="2" t="inlineStr">
        <is>
          <t>Billedmålt på Which?-foto: nederste VESA-hul 19,1 cm fra underkant, målt ud fra VESA 300×200 som skala. Usikkerhed ca. ±1 cm.</t>
        </is>
      </c>
    </row>
    <row r="82">
      <c r="A82" s="2" t="inlineStr">
        <is>
          <t>LG</t>
        </is>
      </c>
      <c r="B82" s="2" t="inlineStr">
        <is>
          <t>OLED B6</t>
        </is>
      </c>
      <c r="C82" s="2" t="inlineStr">
        <is>
          <t>OLED B6</t>
        </is>
      </c>
      <c r="D82" s="2" t="inlineStr">
        <is>
          <t>OLED77B6ELC, OLED77B68LA, OLED77B6, OLED77B66LA</t>
        </is>
      </c>
      <c r="E82" s="3" t="n">
        <v>77</v>
      </c>
      <c r="F82" s="3" t="n">
        <v>2026</v>
      </c>
      <c r="G82" s="4" t="n">
        <v>98.90000000000001</v>
      </c>
      <c r="H82" s="3" t="n">
        <v>300</v>
      </c>
      <c r="I82" s="3" t="n">
        <v>200</v>
      </c>
      <c r="J82" s="4" t="n">
        <v>19.1</v>
      </c>
      <c r="K82" s="4">
        <f>IF(ISNUMBER(J82),J82+I82/10,"")</f>
        <v/>
      </c>
      <c r="L82" s="2" t="inlineStr">
        <is>
          <t>billedmålt</t>
        </is>
      </c>
      <c r="M82" s="2" t="inlineStr">
        <is>
          <t>Which?</t>
        </is>
      </c>
      <c r="N82" s="2" t="inlineStr">
        <is>
          <t>Billedmålt på Which?-foto: nederste VESA-hul 19,1 cm fra underkant, målt ud fra VESA 300×200 som skala. Usikkerhed ca. ±1 cm. Billedkontrol (MediaMarkt): 19,4 cm. Billedkontrol (LG): 19,4 cm.</t>
        </is>
      </c>
    </row>
    <row r="83">
      <c r="A83" s="2" t="inlineStr">
        <is>
          <t>LG</t>
        </is>
      </c>
      <c r="B83" s="2" t="inlineStr">
        <is>
          <t>OLED B6</t>
        </is>
      </c>
      <c r="C83" s="2" t="inlineStr">
        <is>
          <t>OLED B65</t>
        </is>
      </c>
      <c r="D83" s="2" t="inlineStr">
        <is>
          <t>OLED65B65LA</t>
        </is>
      </c>
      <c r="E83" s="3" t="n">
        <v>65</v>
      </c>
      <c r="F83" s="3" t="n">
        <v>2026</v>
      </c>
      <c r="G83" s="4" t="n">
        <v>83.2</v>
      </c>
      <c r="H83" s="3" t="n">
        <v>300</v>
      </c>
      <c r="I83" s="3" t="n">
        <v>200</v>
      </c>
      <c r="J83" s="4" t="n">
        <v>13.7</v>
      </c>
      <c r="K83" s="4">
        <f>IF(ISNUMBER(J83),J83+I83/10,"")</f>
        <v/>
      </c>
      <c r="L83" s="2" t="inlineStr">
        <is>
          <t>billedmålt</t>
        </is>
      </c>
      <c r="M83" s="2" t="inlineStr">
        <is>
          <t>Which?</t>
        </is>
      </c>
      <c r="N83" s="2" t="inlineStr">
        <is>
          <t>Billedmålt på Which?-foto (lg-oled65b65la): nederste VESA-hul 13,7 cm fra underkant, målt ud fra VESA 300×200 som skala. Usikkerhed ca. ±1 cm.</t>
        </is>
      </c>
    </row>
    <row r="84">
      <c r="A84" s="2" t="inlineStr">
        <is>
          <t>LG</t>
        </is>
      </c>
      <c r="B84" s="2" t="inlineStr">
        <is>
          <t>OLED B6</t>
        </is>
      </c>
      <c r="C84" s="2" t="inlineStr">
        <is>
          <t>OLED B6</t>
        </is>
      </c>
      <c r="D84" s="2" t="inlineStr">
        <is>
          <t>OLED65B6ELC, OLED65B6V, OLED65B66LA, OLED65B68LA, OLED65B6D, OLED65B6</t>
        </is>
      </c>
      <c r="E84" s="3" t="n">
        <v>65</v>
      </c>
      <c r="F84" s="3" t="n">
        <v>2026</v>
      </c>
      <c r="G84" s="4" t="n">
        <v>83.2</v>
      </c>
      <c r="H84" s="3" t="n">
        <v>300</v>
      </c>
      <c r="I84" s="3" t="n">
        <v>200</v>
      </c>
      <c r="J84" s="4" t="n">
        <v>13.7</v>
      </c>
      <c r="K84" s="4">
        <f>IF(ISNUMBER(J84),J84+I84/10,"")</f>
        <v/>
      </c>
      <c r="L84" s="2" t="inlineStr">
        <is>
          <t>billedmålt</t>
        </is>
      </c>
      <c r="M84" s="2" t="inlineStr">
        <is>
          <t>Which?</t>
        </is>
      </c>
      <c r="N84" s="2" t="inlineStr">
        <is>
          <t>Billedmålt på Which?-foto (lg-oled65b6elc): nederste VESA-hul 13,7 cm fra underkant, målt ud fra VESA 300×200 som skala. Usikkerhed ca. ±1 cm.</t>
        </is>
      </c>
    </row>
    <row r="85">
      <c r="A85" s="2" t="inlineStr">
        <is>
          <t>LG</t>
        </is>
      </c>
      <c r="B85" s="2" t="inlineStr">
        <is>
          <t>OLED B6</t>
        </is>
      </c>
      <c r="C85" s="2" t="inlineStr">
        <is>
          <t>OLED B65</t>
        </is>
      </c>
      <c r="D85" s="2" t="inlineStr">
        <is>
          <t>OLED55B65LA</t>
        </is>
      </c>
      <c r="E85" s="3" t="n">
        <v>55</v>
      </c>
      <c r="F85" s="3" t="n">
        <v>2026</v>
      </c>
      <c r="G85" s="4" t="n">
        <v>70.8</v>
      </c>
      <c r="H85" s="3" t="n">
        <v>300</v>
      </c>
      <c r="I85" s="3" t="n">
        <v>200</v>
      </c>
      <c r="J85" s="4" t="n">
        <v>13.7</v>
      </c>
      <c r="K85" s="4">
        <f>IF(ISNUMBER(J85),J85+I85/10,"")</f>
        <v/>
      </c>
      <c r="L85" s="2" t="inlineStr">
        <is>
          <t>billedmålt</t>
        </is>
      </c>
      <c r="M85" s="2" t="inlineStr">
        <is>
          <t>Which?</t>
        </is>
      </c>
      <c r="N85" s="2" t="inlineStr">
        <is>
          <t>Billedmålt på Which?-foto (lg-oled55b65la): nederste VESA-hul 13,7 cm fra underkant, målt ud fra VESA 300×200 som skala. Usikkerhed ca. ±1 cm.</t>
        </is>
      </c>
    </row>
    <row r="86">
      <c r="A86" s="2" t="inlineStr">
        <is>
          <t>LG</t>
        </is>
      </c>
      <c r="B86" s="2" t="inlineStr">
        <is>
          <t>OLED B6</t>
        </is>
      </c>
      <c r="C86" s="2" t="inlineStr">
        <is>
          <t>OLED B6</t>
        </is>
      </c>
      <c r="D86" s="2" t="inlineStr">
        <is>
          <t>OLED55B6ELC, OLED55B6V, OLED55B68LA, OLED55B66LA, OLED55B6D, OLED55B6</t>
        </is>
      </c>
      <c r="E86" s="3" t="n">
        <v>55</v>
      </c>
      <c r="F86" s="3" t="n">
        <v>2026</v>
      </c>
      <c r="G86" s="4" t="n">
        <v>70.8</v>
      </c>
      <c r="H86" s="3" t="n">
        <v>300</v>
      </c>
      <c r="I86" s="3" t="n">
        <v>200</v>
      </c>
      <c r="J86" s="4" t="n">
        <v>13.7</v>
      </c>
      <c r="K86" s="4">
        <f>IF(ISNUMBER(J86),J86+I86/10,"")</f>
        <v/>
      </c>
      <c r="L86" s="2" t="inlineStr">
        <is>
          <t>billedmålt</t>
        </is>
      </c>
      <c r="M86" s="2" t="inlineStr">
        <is>
          <t>Which?</t>
        </is>
      </c>
      <c r="N86" s="2" t="inlineStr">
        <is>
          <t>Billedmålt på Which?-foto (lg-oled55b6elc): nederste VESA-hul 13,7 cm fra underkant, målt ud fra VESA 300×200 som skala. Usikkerhed ca. ±1 cm.</t>
        </is>
      </c>
    </row>
    <row r="87">
      <c r="A87" s="2" t="inlineStr">
        <is>
          <t>LG</t>
        </is>
      </c>
      <c r="B87" s="2" t="inlineStr">
        <is>
          <t>OLED B6</t>
        </is>
      </c>
      <c r="C87" s="2" t="inlineStr">
        <is>
          <t>OLED B65</t>
        </is>
      </c>
      <c r="D87" s="2" t="inlineStr">
        <is>
          <t>OLED48B65LA, OLED48B6ELC, OLED48B68LA, OLED48B66LA</t>
        </is>
      </c>
      <c r="E87" s="3" t="n">
        <v>48</v>
      </c>
      <c r="F87" s="3" t="n">
        <v>2026</v>
      </c>
      <c r="G87" s="4" t="n">
        <v>62</v>
      </c>
      <c r="H87" s="3" t="n">
        <v>300</v>
      </c>
      <c r="I87" s="3" t="n">
        <v>200</v>
      </c>
      <c r="J87" s="4" t="n">
        <v>13.7</v>
      </c>
      <c r="K87" s="4">
        <f>IF(ISNUMBER(J87),J87+I87/10,"")</f>
        <v/>
      </c>
      <c r="L87" s="2" t="inlineStr">
        <is>
          <t>billedmålt</t>
        </is>
      </c>
      <c r="M87" s="2" t="inlineStr">
        <is>
          <t>Which?</t>
        </is>
      </c>
      <c r="N87" s="2" t="inlineStr">
        <is>
          <t>Billedmålt på Which?-foto (lg-oled48b65la): nederste VESA-hul 13,7 cm fra underkant, målt ud fra VESA 300×200 som skala. Usikkerhed ca. ±1 cm. Billedkontrol (Elgiganten): 14,3 cm.</t>
        </is>
      </c>
    </row>
    <row r="88">
      <c r="A88" s="2" t="inlineStr">
        <is>
          <t>LG</t>
        </is>
      </c>
      <c r="B88" s="2" t="inlineStr">
        <is>
          <t>OLED C1</t>
        </is>
      </c>
      <c r="C88" s="2" t="inlineStr">
        <is>
          <t>OLED C14</t>
        </is>
      </c>
      <c r="D88" s="2" t="inlineStr">
        <is>
          <t>OLED55C14LB, OLED55C15LA, OLED55C16LA, OLED55C17LB, OLED55C11LB, OLED55C18LA, OLED55C19LA</t>
        </is>
      </c>
      <c r="E88" s="3" t="n">
        <v>55</v>
      </c>
      <c r="F88" s="3" t="n">
        <v>2021</v>
      </c>
      <c r="G88" s="4" t="n">
        <v>70.59999999999999</v>
      </c>
      <c r="H88" s="3" t="n">
        <v>300</v>
      </c>
      <c r="I88" s="3" t="n">
        <v>200</v>
      </c>
      <c r="J88" s="4" t="n">
        <v>13.9</v>
      </c>
      <c r="K88" s="4">
        <f>IF(ISNUMBER(J88),J88+I88/10,"")</f>
        <v/>
      </c>
      <c r="L88" s="2" t="inlineStr">
        <is>
          <t>billedmålt</t>
        </is>
      </c>
      <c r="M88" s="2" t="inlineStr">
        <is>
          <t>LG</t>
        </is>
      </c>
      <c r="N88" s="2" t="inlineStr">
        <is>
          <t>Billedmålt på LG-foto: nederste VESA-hul 13,9 cm fra underkant, målt ud fra VESA 300×200 som skala. Usikkerhed ca. ±1 cm.</t>
        </is>
      </c>
    </row>
    <row r="89">
      <c r="A89" s="2" t="inlineStr">
        <is>
          <t>LG</t>
        </is>
      </c>
      <c r="B89" s="2" t="inlineStr">
        <is>
          <t>OLED C1</t>
        </is>
      </c>
      <c r="C89" s="2" t="inlineStr">
        <is>
          <t>OLED C1 (2021)</t>
        </is>
      </c>
      <c r="D89" s="2" t="inlineStr">
        <is>
          <t>OLED48C14LB, OLED48C1, OLED48C15LA, OLED48C18LA, OLED48C16LA, OLED48C17LB, OLED48C19LA</t>
        </is>
      </c>
      <c r="E89" s="3" t="n">
        <v>48</v>
      </c>
      <c r="F89" s="3" t="n">
        <v>2021</v>
      </c>
      <c r="G89" s="4" t="n">
        <v>61.5</v>
      </c>
      <c r="H89" s="3" t="n">
        <v>300</v>
      </c>
      <c r="I89" s="3" t="n">
        <v>200</v>
      </c>
      <c r="J89" s="4" t="n">
        <v>13.5</v>
      </c>
      <c r="K89" s="4">
        <f>IF(ISNUMBER(J89),J89+I89/10,"")</f>
        <v/>
      </c>
      <c r="L89" s="2" t="inlineStr">
        <is>
          <t>kundemålt</t>
        </is>
      </c>
      <c r="M89" s="2" t="inlineStr"/>
      <c r="N89" s="2" t="inlineStr">
        <is>
          <t>Kundemålt 20/7-2026 (huller 13,5 og 33 cm fra underkant).</t>
        </is>
      </c>
    </row>
    <row r="90">
      <c r="A90" s="2" t="inlineStr">
        <is>
          <t>LG</t>
        </is>
      </c>
      <c r="B90" s="2" t="inlineStr">
        <is>
          <t>OLED C2</t>
        </is>
      </c>
      <c r="C90" s="2" t="inlineStr">
        <is>
          <t>OLED C24</t>
        </is>
      </c>
      <c r="D90" s="2" t="inlineStr">
        <is>
          <t>OLED83C24LA, OLED83C21LA, OLED83C29LA, OLED83C26LA, OLED83C27LA</t>
        </is>
      </c>
      <c r="E90" s="3" t="n">
        <v>83</v>
      </c>
      <c r="F90" s="3" t="n">
        <v>2022</v>
      </c>
      <c r="G90" s="4" t="n">
        <v>106.2</v>
      </c>
      <c r="H90" s="3" t="n">
        <v>400</v>
      </c>
      <c r="I90" s="3" t="n">
        <v>400</v>
      </c>
      <c r="J90" s="4" t="n">
        <v>10.5</v>
      </c>
      <c r="K90" s="4">
        <f>IF(ISNUMBER(J90),J90+I90/10,"")</f>
        <v/>
      </c>
      <c r="L90" s="2" t="inlineStr">
        <is>
          <t>billedmålt</t>
        </is>
      </c>
      <c r="M90" s="2" t="inlineStr">
        <is>
          <t>LG</t>
        </is>
      </c>
      <c r="N90" s="2" t="inlineStr">
        <is>
          <t>Billedmålt på LG-foto: nederste VESA-hul 10,5 cm fra underkant, målt ud fra VESA 400×400 som skala. Usikkerhed ca. ±1 cm.</t>
        </is>
      </c>
    </row>
    <row r="91">
      <c r="A91" s="2" t="inlineStr">
        <is>
          <t>LG</t>
        </is>
      </c>
      <c r="B91" s="2" t="inlineStr">
        <is>
          <t>OLED C2</t>
        </is>
      </c>
      <c r="C91" s="2" t="inlineStr">
        <is>
          <t>OLED C24</t>
        </is>
      </c>
      <c r="D91" s="2" t="inlineStr">
        <is>
          <t>OLED77C24LA, OLED77C27LA, OLED77C25LB, OLED77C29LD, OLED77C28LB, OLED77C22LB</t>
        </is>
      </c>
      <c r="E91" s="3" t="n">
        <v>77</v>
      </c>
      <c r="F91" s="3" t="n">
        <v>2022</v>
      </c>
      <c r="G91" s="4" t="n">
        <v>98.2</v>
      </c>
      <c r="H91" s="3" t="n">
        <v>300</v>
      </c>
      <c r="I91" s="3" t="n">
        <v>200</v>
      </c>
      <c r="J91" s="4" t="n"/>
      <c r="K91" s="4">
        <f>IF(ISNUMBER(J91),J91+I91/10,"")</f>
        <v/>
      </c>
      <c r="L91" s="2" t="inlineStr">
        <is>
          <t>estimat</t>
        </is>
      </c>
      <c r="M91" s="2" t="inlineStr"/>
      <c r="N91" s="2" t="inlineStr"/>
    </row>
    <row r="92">
      <c r="A92" s="2" t="inlineStr">
        <is>
          <t>LG</t>
        </is>
      </c>
      <c r="B92" s="2" t="inlineStr">
        <is>
          <t>OLED C2</t>
        </is>
      </c>
      <c r="C92" s="2" t="inlineStr">
        <is>
          <t>OLED C26</t>
        </is>
      </c>
      <c r="D92" s="2" t="inlineStr">
        <is>
          <t>OLED77C26LD</t>
        </is>
      </c>
      <c r="E92" s="3" t="n">
        <v>77</v>
      </c>
      <c r="F92" s="3" t="n">
        <v>2022</v>
      </c>
      <c r="G92" s="4" t="n">
        <v>98.2</v>
      </c>
      <c r="H92" s="3" t="n">
        <v>300</v>
      </c>
      <c r="I92" s="3" t="n">
        <v>200</v>
      </c>
      <c r="J92" s="4" t="n"/>
      <c r="K92" s="4">
        <f>IF(ISNUMBER(J92),J92+I92/10,"")</f>
        <v/>
      </c>
      <c r="L92" s="2" t="inlineStr">
        <is>
          <t>estimat</t>
        </is>
      </c>
      <c r="M92" s="2" t="inlineStr"/>
      <c r="N92" s="2" t="inlineStr"/>
    </row>
    <row r="93">
      <c r="A93" s="2" t="inlineStr">
        <is>
          <t>LG</t>
        </is>
      </c>
      <c r="B93" s="2" t="inlineStr">
        <is>
          <t>OLED C2</t>
        </is>
      </c>
      <c r="C93" s="2" t="inlineStr">
        <is>
          <t>OLED C24</t>
        </is>
      </c>
      <c r="D93" s="2" t="inlineStr">
        <is>
          <t>OLED65C24LA, OLED65C2SW, OLED65C22LB, OLED65C28LB, OLED65C25LB, OLED65C29LD, OLED65C27LA</t>
        </is>
      </c>
      <c r="E93" s="3" t="n">
        <v>65</v>
      </c>
      <c r="F93" s="3" t="n">
        <v>2022</v>
      </c>
      <c r="G93" s="4" t="n">
        <v>82.59999999999999</v>
      </c>
      <c r="H93" s="3" t="n">
        <v>300</v>
      </c>
      <c r="I93" s="3" t="n">
        <v>200</v>
      </c>
      <c r="J93" s="4" t="n">
        <v>21.9</v>
      </c>
      <c r="K93" s="4">
        <f>IF(ISNUMBER(J93),J93+I93/10,"")</f>
        <v/>
      </c>
      <c r="L93" s="2" t="inlineStr">
        <is>
          <t>billedmålt</t>
        </is>
      </c>
      <c r="M93" s="2" t="inlineStr">
        <is>
          <t>LG</t>
        </is>
      </c>
      <c r="N93" s="2" t="inlineStr">
        <is>
          <t>Billedmålt på LG-foto: nederste VESA-hul 21,9 cm fra underkant, målt ud fra VESA 300×200 som skala. Usikkerhed ca. ±1 cm.</t>
        </is>
      </c>
    </row>
    <row r="94">
      <c r="A94" s="2" t="inlineStr">
        <is>
          <t>LG</t>
        </is>
      </c>
      <c r="B94" s="2" t="inlineStr">
        <is>
          <t>OLED C2</t>
        </is>
      </c>
      <c r="C94" s="2" t="inlineStr">
        <is>
          <t>OLED C26</t>
        </is>
      </c>
      <c r="D94" s="2" t="inlineStr">
        <is>
          <t>OLED65C26LD</t>
        </is>
      </c>
      <c r="E94" s="3" t="n">
        <v>65</v>
      </c>
      <c r="F94" s="3" t="n">
        <v>2022</v>
      </c>
      <c r="G94" s="4" t="n">
        <v>82.59999999999999</v>
      </c>
      <c r="H94" s="3" t="n">
        <v>300</v>
      </c>
      <c r="I94" s="3" t="n">
        <v>200</v>
      </c>
      <c r="J94" s="4" t="n">
        <v>21.9</v>
      </c>
      <c r="K94" s="4">
        <f>IF(ISNUMBER(J94),J94+I94/10,"")</f>
        <v/>
      </c>
      <c r="L94" s="2" t="inlineStr">
        <is>
          <t>samme bagside</t>
        </is>
      </c>
      <c r="M94" s="2" t="inlineStr">
        <is>
          <t>LG</t>
        </is>
      </c>
      <c r="N94" s="2" t="inlineStr">
        <is>
          <t>Samme serie, årgang, størrelse og VESA som OLED65C24LA (21,9 cm). Regional variant med samme bagside.</t>
        </is>
      </c>
    </row>
    <row r="95">
      <c r="A95" s="2" t="inlineStr">
        <is>
          <t>LG</t>
        </is>
      </c>
      <c r="B95" s="2" t="inlineStr">
        <is>
          <t>OLED C2</t>
        </is>
      </c>
      <c r="C95" s="2" t="inlineStr">
        <is>
          <t>OLED C24</t>
        </is>
      </c>
      <c r="D95" s="2" t="inlineStr">
        <is>
          <t>OLED55C24LA, OLED55C25LB, OLED55C22LB, OLED55C27LA, OLED55C29LD, OLED55C28LB</t>
        </is>
      </c>
      <c r="E95" s="3" t="n">
        <v>55</v>
      </c>
      <c r="F95" s="3" t="n">
        <v>2022</v>
      </c>
      <c r="G95" s="4" t="n">
        <v>70.3</v>
      </c>
      <c r="H95" s="3" t="n">
        <v>300</v>
      </c>
      <c r="I95" s="3" t="n">
        <v>200</v>
      </c>
      <c r="J95" s="4" t="n">
        <v>21.7</v>
      </c>
      <c r="K95" s="4">
        <f>IF(ISNUMBER(J95),J95+I95/10,"")</f>
        <v/>
      </c>
      <c r="L95" s="2" t="inlineStr">
        <is>
          <t>billedmålt</t>
        </is>
      </c>
      <c r="M95" s="2" t="inlineStr">
        <is>
          <t>LG</t>
        </is>
      </c>
      <c r="N95" s="2" t="inlineStr">
        <is>
          <t>Billedmålt på LG-foto: nederste VESA-hul 21,7 cm fra underkant, målt ud fra VESA 300×200 som skala. Usikkerhed ca. ±1 cm.</t>
        </is>
      </c>
    </row>
    <row r="96">
      <c r="A96" s="2" t="inlineStr">
        <is>
          <t>LG</t>
        </is>
      </c>
      <c r="B96" s="2" t="inlineStr">
        <is>
          <t>OLED C2</t>
        </is>
      </c>
      <c r="C96" s="2" t="inlineStr">
        <is>
          <t>OLED C26</t>
        </is>
      </c>
      <c r="D96" s="2" t="inlineStr">
        <is>
          <t>OLED55C26LD</t>
        </is>
      </c>
      <c r="E96" s="3" t="n">
        <v>55</v>
      </c>
      <c r="F96" s="3" t="n">
        <v>2022</v>
      </c>
      <c r="G96" s="4" t="n">
        <v>70.3</v>
      </c>
      <c r="H96" s="3" t="n">
        <v>300</v>
      </c>
      <c r="I96" s="3" t="n">
        <v>200</v>
      </c>
      <c r="J96" s="4" t="n">
        <v>21.7</v>
      </c>
      <c r="K96" s="4">
        <f>IF(ISNUMBER(J96),J96+I96/10,"")</f>
        <v/>
      </c>
      <c r="L96" s="2" t="inlineStr">
        <is>
          <t>samme bagside</t>
        </is>
      </c>
      <c r="M96" s="2" t="inlineStr">
        <is>
          <t>LG</t>
        </is>
      </c>
      <c r="N96" s="2" t="inlineStr">
        <is>
          <t>Samme serie, årgang, størrelse og VESA som OLED55C24LA (21,7 cm). Regional variant med samme bagside.</t>
        </is>
      </c>
    </row>
    <row r="97">
      <c r="A97" s="2" t="inlineStr">
        <is>
          <t>LG</t>
        </is>
      </c>
      <c r="B97" s="2" t="inlineStr">
        <is>
          <t>OLED C2</t>
        </is>
      </c>
      <c r="C97" s="2" t="inlineStr">
        <is>
          <t>OLED evo C2</t>
        </is>
      </c>
      <c r="D97" s="2" t="inlineStr">
        <is>
          <t>OLED48C24LA, OLED48C26LA, OLED48C25LB, OLED48C22LB, OLED48C27LA, OLED48C29LB, OLED48C28LB</t>
        </is>
      </c>
      <c r="E97" s="3" t="n">
        <v>48</v>
      </c>
      <c r="F97" s="3" t="n">
        <v>2022</v>
      </c>
      <c r="G97" s="4" t="n">
        <v>62</v>
      </c>
      <c r="H97" s="3" t="n">
        <v>300</v>
      </c>
      <c r="I97" s="3" t="n">
        <v>200</v>
      </c>
      <c r="J97" s="4" t="n"/>
      <c r="K97" s="4">
        <f>IF(ISNUMBER(J97),J97+I97/10,"")</f>
        <v/>
      </c>
      <c r="L97" s="2" t="inlineStr">
        <is>
          <t>estimat</t>
        </is>
      </c>
      <c r="M97" s="2" t="inlineStr"/>
      <c r="N97" s="2" t="inlineStr"/>
    </row>
    <row r="98">
      <c r="A98" s="2" t="inlineStr">
        <is>
          <t>LG</t>
        </is>
      </c>
      <c r="B98" s="2" t="inlineStr">
        <is>
          <t>OLED C2</t>
        </is>
      </c>
      <c r="C98" s="2" t="inlineStr">
        <is>
          <t>OLED C26</t>
        </is>
      </c>
      <c r="D98" s="2" t="inlineStr">
        <is>
          <t>OLED48C26LB</t>
        </is>
      </c>
      <c r="E98" s="3" t="n">
        <v>48</v>
      </c>
      <c r="F98" s="3" t="n">
        <v>2022</v>
      </c>
      <c r="G98" s="4" t="n">
        <v>62</v>
      </c>
      <c r="H98" s="3" t="n">
        <v>300</v>
      </c>
      <c r="I98" s="3" t="n">
        <v>200</v>
      </c>
      <c r="J98" s="4" t="n"/>
      <c r="K98" s="4">
        <f>IF(ISNUMBER(J98),J98+I98/10,"")</f>
        <v/>
      </c>
      <c r="L98" s="2" t="inlineStr">
        <is>
          <t>estimat</t>
        </is>
      </c>
      <c r="M98" s="2" t="inlineStr"/>
      <c r="N98" s="2" t="inlineStr"/>
    </row>
    <row r="99">
      <c r="A99" s="2" t="inlineStr">
        <is>
          <t>LG</t>
        </is>
      </c>
      <c r="B99" s="2" t="inlineStr">
        <is>
          <t>OLED C2</t>
        </is>
      </c>
      <c r="C99" s="2" t="inlineStr">
        <is>
          <t>OLED C24</t>
        </is>
      </c>
      <c r="D99" s="2" t="inlineStr">
        <is>
          <t>OLED42C24LA, OLED42C26LB, OLED42C21LA, OLED42C27LA, OLED42C29LB</t>
        </is>
      </c>
      <c r="E99" s="3" t="n">
        <v>42</v>
      </c>
      <c r="F99" s="3" t="n">
        <v>2022</v>
      </c>
      <c r="G99" s="4" t="n">
        <v>54</v>
      </c>
      <c r="H99" s="3" t="n">
        <v>300</v>
      </c>
      <c r="I99" s="3" t="n">
        <v>200</v>
      </c>
      <c r="J99" s="4" t="n">
        <v>19.9</v>
      </c>
      <c r="K99" s="4">
        <f>IF(ISNUMBER(J99),J99+I99/10,"")</f>
        <v/>
      </c>
      <c r="L99" s="2" t="inlineStr">
        <is>
          <t>billedmålt</t>
        </is>
      </c>
      <c r="M99" s="2" t="inlineStr">
        <is>
          <t>LG</t>
        </is>
      </c>
      <c r="N99" s="2" t="inlineStr">
        <is>
          <t>Billedmålt på LG-foto: nederste VESA-hul 19,9 cm fra underkant, målt ud fra VESA 300×200 som skala. Usikkerhed ca. ±1 cm.</t>
        </is>
      </c>
    </row>
    <row r="100">
      <c r="A100" s="2" t="inlineStr">
        <is>
          <t>LG</t>
        </is>
      </c>
      <c r="B100" s="2" t="inlineStr">
        <is>
          <t>OLED C3</t>
        </is>
      </c>
      <c r="C100" s="2" t="inlineStr">
        <is>
          <t>OLED C34</t>
        </is>
      </c>
      <c r="D100" s="2" t="inlineStr">
        <is>
          <t>OLED83C34LA, OLED83C36LA, OLED83C39LA, OLED83C31LA, OLED83C37LA</t>
        </is>
      </c>
      <c r="E100" s="3" t="n">
        <v>83</v>
      </c>
      <c r="F100" s="3" t="n">
        <v>2023</v>
      </c>
      <c r="G100" s="4" t="n">
        <v>106.2</v>
      </c>
      <c r="H100" s="3" t="n">
        <v>400</v>
      </c>
      <c r="I100" s="3" t="n">
        <v>400</v>
      </c>
      <c r="J100" s="4" t="n">
        <v>10.8</v>
      </c>
      <c r="K100" s="4">
        <f>IF(ISNUMBER(J100),J100+I100/10,"")</f>
        <v/>
      </c>
      <c r="L100" s="2" t="inlineStr">
        <is>
          <t>producentens mål</t>
        </is>
      </c>
      <c r="M100" s="2" t="inlineStr">
        <is>
          <t>LG-tegning 2023</t>
        </is>
      </c>
      <c r="N100" s="2" t="inlineStr">
        <is>
          <t>Hulplacering fra LG's officielle bagside-tegning 2023 (OLEDC3 83″, X1 = 108 mm). Højde og VESA fra LG's side. Billedkontrol (LG): 10,5 cm.</t>
        </is>
      </c>
    </row>
    <row r="101">
      <c r="A101" s="2" t="inlineStr">
        <is>
          <t>LG</t>
        </is>
      </c>
      <c r="B101" s="2" t="inlineStr">
        <is>
          <t>OLED C3</t>
        </is>
      </c>
      <c r="C101" s="2" t="inlineStr">
        <is>
          <t>OLED C34</t>
        </is>
      </c>
      <c r="D101" s="2" t="inlineStr">
        <is>
          <t>OLED77C34LA, OLED77C31LA, OLED77C37LA, OLED77C35LA, OLED77C39LC, OLED77C38LA, OLED77C34</t>
        </is>
      </c>
      <c r="E101" s="3" t="n">
        <v>77</v>
      </c>
      <c r="F101" s="3" t="n">
        <v>2023</v>
      </c>
      <c r="G101" s="4" t="n">
        <v>98.2</v>
      </c>
      <c r="H101" s="3" t="n">
        <v>300</v>
      </c>
      <c r="I101" s="3" t="n">
        <v>200</v>
      </c>
      <c r="J101" s="4" t="n">
        <v>33.7</v>
      </c>
      <c r="K101" s="4">
        <f>IF(ISNUMBER(J101),J101+I101/10,"")</f>
        <v/>
      </c>
      <c r="L101" s="2" t="inlineStr">
        <is>
          <t>producentens mål</t>
        </is>
      </c>
      <c r="M101" s="2" t="inlineStr">
        <is>
          <t>LG-tegning 2023</t>
        </is>
      </c>
      <c r="N101" s="2" t="inlineStr">
        <is>
          <t>Hulplacering fra LG's officielle bagside-tegning 2023 (OLEDC3 77″, X1 = 337 mm). Højde og VESA fra LG's side.</t>
        </is>
      </c>
    </row>
    <row r="102">
      <c r="A102" s="2" t="inlineStr">
        <is>
          <t>LG</t>
        </is>
      </c>
      <c r="B102" s="2" t="inlineStr">
        <is>
          <t>OLED C3</t>
        </is>
      </c>
      <c r="C102" s="2" t="inlineStr">
        <is>
          <t>OLED C36</t>
        </is>
      </c>
      <c r="D102" s="2" t="inlineStr">
        <is>
          <t>OLED77C36LC</t>
        </is>
      </c>
      <c r="E102" s="3" t="n">
        <v>77</v>
      </c>
      <c r="F102" s="3" t="n">
        <v>2023</v>
      </c>
      <c r="G102" s="4" t="n">
        <v>98.2</v>
      </c>
      <c r="H102" s="3" t="n">
        <v>300</v>
      </c>
      <c r="I102" s="3" t="n">
        <v>200</v>
      </c>
      <c r="J102" s="4" t="n">
        <v>33.7</v>
      </c>
      <c r="K102" s="4">
        <f>IF(ISNUMBER(J102),J102+I102/10,"")</f>
        <v/>
      </c>
      <c r="L102" s="2" t="inlineStr">
        <is>
          <t>producentens mål</t>
        </is>
      </c>
      <c r="M102" s="2" t="inlineStr">
        <is>
          <t>LG-tegning 2023</t>
        </is>
      </c>
      <c r="N102" s="2" t="inlineStr">
        <is>
          <t>Hulplacering fra LG's officielle bagside-tegning 2023 (OLEDC3 77″, X1 = 337 mm). Højde og VESA fra LG's side.</t>
        </is>
      </c>
    </row>
    <row r="103">
      <c r="A103" s="2" t="inlineStr">
        <is>
          <t>LG</t>
        </is>
      </c>
      <c r="B103" s="2" t="inlineStr">
        <is>
          <t>OLED C3</t>
        </is>
      </c>
      <c r="C103" s="2" t="inlineStr">
        <is>
          <t>OLED C34</t>
        </is>
      </c>
      <c r="D103" s="2" t="inlineStr">
        <is>
          <t>OLED65C34LA, OLED65C38LA, OLED65C39LC, OLED65C37LA, OLED65C35LA, OLED65C31LA, OLED65C3LA</t>
        </is>
      </c>
      <c r="E103" s="3" t="n">
        <v>65</v>
      </c>
      <c r="F103" s="3" t="n">
        <v>2023</v>
      </c>
      <c r="G103" s="4" t="n">
        <v>82.59999999999999</v>
      </c>
      <c r="H103" s="3" t="n">
        <v>300</v>
      </c>
      <c r="I103" s="3" t="n">
        <v>200</v>
      </c>
      <c r="J103" s="4" t="n">
        <v>22</v>
      </c>
      <c r="K103" s="4">
        <f>IF(ISNUMBER(J103),J103+I103/10,"")</f>
        <v/>
      </c>
      <c r="L103" s="2" t="inlineStr">
        <is>
          <t>producentens mål</t>
        </is>
      </c>
      <c r="M103" s="2" t="inlineStr">
        <is>
          <t>LG-tegning 2023</t>
        </is>
      </c>
      <c r="N103" s="2" t="inlineStr">
        <is>
          <t>Hulplacering fra LG's officielle bagside-tegning 2023 (OLEDC3 65″, X1 = 220 mm). Højde og VESA fra LG's side. Billedkontrol (LG): 21,8 cm.</t>
        </is>
      </c>
    </row>
    <row r="104">
      <c r="A104" s="2" t="inlineStr">
        <is>
          <t>LG</t>
        </is>
      </c>
      <c r="B104" s="2" t="inlineStr">
        <is>
          <t>OLED C3</t>
        </is>
      </c>
      <c r="C104" s="2" t="inlineStr">
        <is>
          <t>OLED C36</t>
        </is>
      </c>
      <c r="D104" s="2" t="inlineStr">
        <is>
          <t>OLED65C36LC</t>
        </is>
      </c>
      <c r="E104" s="3" t="n">
        <v>65</v>
      </c>
      <c r="F104" s="3" t="n">
        <v>2023</v>
      </c>
      <c r="G104" s="4" t="n">
        <v>82.59999999999999</v>
      </c>
      <c r="H104" s="3" t="n">
        <v>300</v>
      </c>
      <c r="I104" s="3" t="n">
        <v>200</v>
      </c>
      <c r="J104" s="4" t="n">
        <v>22</v>
      </c>
      <c r="K104" s="4">
        <f>IF(ISNUMBER(J104),J104+I104/10,"")</f>
        <v/>
      </c>
      <c r="L104" s="2" t="inlineStr">
        <is>
          <t>producentens mål</t>
        </is>
      </c>
      <c r="M104" s="2" t="inlineStr">
        <is>
          <t>LG-tegning 2023</t>
        </is>
      </c>
      <c r="N104" s="2" t="inlineStr">
        <is>
          <t>Hulplacering fra LG's officielle bagside-tegning 2023 (OLEDC3 65″, X1 = 220 mm). Højde og VESA fra LG's side.</t>
        </is>
      </c>
    </row>
    <row r="105">
      <c r="A105" s="2" t="inlineStr">
        <is>
          <t>LG</t>
        </is>
      </c>
      <c r="B105" s="2" t="inlineStr">
        <is>
          <t>OLED C3</t>
        </is>
      </c>
      <c r="C105" s="2" t="inlineStr">
        <is>
          <t>OLED evo C3</t>
        </is>
      </c>
      <c r="D105" s="2" t="inlineStr">
        <is>
          <t>OLED55C34LA, OLED55C36LA, OLED55C35LA, OLED55C37LA, OLED55C31LA, OLED55C38LA, OLED55C39LC</t>
        </is>
      </c>
      <c r="E105" s="3" t="n">
        <v>55</v>
      </c>
      <c r="F105" s="3" t="n">
        <v>2023</v>
      </c>
      <c r="G105" s="4" t="n">
        <v>70.8</v>
      </c>
      <c r="H105" s="3" t="n">
        <v>300</v>
      </c>
      <c r="I105" s="3" t="n">
        <v>200</v>
      </c>
      <c r="J105" s="4" t="n">
        <v>22</v>
      </c>
      <c r="K105" s="4">
        <f>IF(ISNUMBER(J105),J105+I105/10,"")</f>
        <v/>
      </c>
      <c r="L105" s="2" t="inlineStr">
        <is>
          <t>producentens mål</t>
        </is>
      </c>
      <c r="M105" s="2" t="inlineStr">
        <is>
          <t>LG-tegning 2023</t>
        </is>
      </c>
      <c r="N105" s="2" t="inlineStr">
        <is>
          <t>Hulplacering fra LG's officielle bagside-tegning 2023 (OLEDC3 55″, X1 = 220 mm). Højde og VESA fra LG's side. Billedkontrol (Icecat): 21,9 cm. Billedkontrol (LG): 21,7 cm.</t>
        </is>
      </c>
    </row>
    <row r="106">
      <c r="A106" s="2" t="inlineStr">
        <is>
          <t>LG</t>
        </is>
      </c>
      <c r="B106" s="2" t="inlineStr">
        <is>
          <t>OLED C3</t>
        </is>
      </c>
      <c r="C106" s="2" t="inlineStr">
        <is>
          <t>OLED C36</t>
        </is>
      </c>
      <c r="D106" s="2" t="inlineStr">
        <is>
          <t>OLED55C36LC</t>
        </is>
      </c>
      <c r="E106" s="3" t="n">
        <v>55</v>
      </c>
      <c r="F106" s="3" t="n">
        <v>2023</v>
      </c>
      <c r="G106" s="4" t="n">
        <v>70.3</v>
      </c>
      <c r="H106" s="3" t="n">
        <v>300</v>
      </c>
      <c r="I106" s="3" t="n">
        <v>200</v>
      </c>
      <c r="J106" s="4" t="n">
        <v>22</v>
      </c>
      <c r="K106" s="4">
        <f>IF(ISNUMBER(J106),J106+I106/10,"")</f>
        <v/>
      </c>
      <c r="L106" s="2" t="inlineStr">
        <is>
          <t>producentens mål</t>
        </is>
      </c>
      <c r="M106" s="2" t="inlineStr">
        <is>
          <t>LG-tegning 2023</t>
        </is>
      </c>
      <c r="N106" s="2" t="inlineStr">
        <is>
          <t>Hulplacering fra LG's officielle bagside-tegning 2023 (OLEDC3 55″, X1 = 220 mm). Højde og VESA fra LG's side.</t>
        </is>
      </c>
    </row>
    <row r="107">
      <c r="A107" s="2" t="inlineStr">
        <is>
          <t>LG</t>
        </is>
      </c>
      <c r="B107" s="2" t="inlineStr">
        <is>
          <t>OLED C3</t>
        </is>
      </c>
      <c r="C107" s="2" t="inlineStr">
        <is>
          <t>OLED C34</t>
        </is>
      </c>
      <c r="D107" s="2" t="inlineStr">
        <is>
          <t>OLED48C34LA, OLED48C31LA, OLED48C35LA, OLED48C37LA, OLED48C38LA, OLED48C34, OLED48C39LA</t>
        </is>
      </c>
      <c r="E107" s="3" t="n">
        <v>48</v>
      </c>
      <c r="F107" s="3" t="n">
        <v>2023</v>
      </c>
      <c r="G107" s="4" t="n">
        <v>61.8</v>
      </c>
      <c r="H107" s="3" t="n">
        <v>300</v>
      </c>
      <c r="I107" s="3" t="n">
        <v>200</v>
      </c>
      <c r="J107" s="4" t="n">
        <v>14.4</v>
      </c>
      <c r="K107" s="4">
        <f>IF(ISNUMBER(J107),J107+I107/10,"")</f>
        <v/>
      </c>
      <c r="L107" s="2" t="inlineStr">
        <is>
          <t>producentens mål</t>
        </is>
      </c>
      <c r="M107" s="2" t="inlineStr">
        <is>
          <t>LG-tegning 2023</t>
        </is>
      </c>
      <c r="N107" s="2" t="inlineStr">
        <is>
          <t>Hulplacering fra LG's officielle bagside-tegning 2023 (OLEDC3 48″, X1 = 144 mm). Højde og VESA fra LG's side.</t>
        </is>
      </c>
    </row>
    <row r="108">
      <c r="A108" s="2" t="inlineStr">
        <is>
          <t>LG</t>
        </is>
      </c>
      <c r="B108" s="2" t="inlineStr">
        <is>
          <t>OLED C3</t>
        </is>
      </c>
      <c r="C108" s="2" t="inlineStr">
        <is>
          <t>OLED C36</t>
        </is>
      </c>
      <c r="D108" s="2" t="inlineStr">
        <is>
          <t>OLED48C36LA</t>
        </is>
      </c>
      <c r="E108" s="3" t="n">
        <v>48</v>
      </c>
      <c r="F108" s="3" t="n">
        <v>2023</v>
      </c>
      <c r="G108" s="4" t="n">
        <v>61.8</v>
      </c>
      <c r="H108" s="3" t="n">
        <v>300</v>
      </c>
      <c r="I108" s="3" t="n">
        <v>200</v>
      </c>
      <c r="J108" s="4" t="n">
        <v>14.4</v>
      </c>
      <c r="K108" s="4">
        <f>IF(ISNUMBER(J108),J108+I108/10,"")</f>
        <v/>
      </c>
      <c r="L108" s="2" t="inlineStr">
        <is>
          <t>producentens mål</t>
        </is>
      </c>
      <c r="M108" s="2" t="inlineStr">
        <is>
          <t>LG-tegning 2023</t>
        </is>
      </c>
      <c r="N108" s="2" t="inlineStr">
        <is>
          <t>Hulplacering fra LG's officielle bagside-tegning 2023 (OLEDC3 48″, X1 = 144 mm). Højde og VESA fra LG's side.</t>
        </is>
      </c>
    </row>
    <row r="109">
      <c r="A109" s="2" t="inlineStr">
        <is>
          <t>LG</t>
        </is>
      </c>
      <c r="B109" s="2" t="inlineStr">
        <is>
          <t>OLED C3</t>
        </is>
      </c>
      <c r="C109" s="2" t="inlineStr">
        <is>
          <t>OLED evo C3</t>
        </is>
      </c>
      <c r="D109" s="2" t="inlineStr">
        <is>
          <t>OLED42C34LA, OLED42C36LA, OLED42C37LA, OLED42C35LA, OLED42C31LA, OLED42C38LA, OLED42C34</t>
        </is>
      </c>
      <c r="E109" s="3" t="n">
        <v>42</v>
      </c>
      <c r="F109" s="3" t="n">
        <v>2023</v>
      </c>
      <c r="G109" s="4" t="n">
        <v>53.5</v>
      </c>
      <c r="H109" s="3" t="n">
        <v>300</v>
      </c>
      <c r="I109" s="3" t="n">
        <v>200</v>
      </c>
      <c r="J109" s="4" t="n">
        <v>20.1</v>
      </c>
      <c r="K109" s="4">
        <f>IF(ISNUMBER(J109),J109+I109/10,"")</f>
        <v/>
      </c>
      <c r="L109" s="2" t="inlineStr">
        <is>
          <t>producentens mål</t>
        </is>
      </c>
      <c r="M109" s="2" t="inlineStr">
        <is>
          <t>LG-tegning 2023</t>
        </is>
      </c>
      <c r="N109" s="2" t="inlineStr">
        <is>
          <t>Hulplacering fra LG's officielle bagside-tegning 2023 (OLEDC3 42″, X1 = 201 mm). Højde og VESA fra LG's side.</t>
        </is>
      </c>
    </row>
    <row r="110">
      <c r="A110" s="2" t="inlineStr">
        <is>
          <t>LG</t>
        </is>
      </c>
      <c r="B110" s="2" t="inlineStr">
        <is>
          <t>OLED C4</t>
        </is>
      </c>
      <c r="C110" s="2" t="inlineStr">
        <is>
          <t>OLED C44</t>
        </is>
      </c>
      <c r="D110" s="2" t="inlineStr">
        <is>
          <t>OLED83C44LA, OLED83C4LA, OLED83C47LA, OLED83C49LA, OLED83C43LA, OLED83C43</t>
        </is>
      </c>
      <c r="E110" s="3" t="n">
        <v>83</v>
      </c>
      <c r="F110" s="3" t="n">
        <v>2024</v>
      </c>
      <c r="G110" s="4" t="n">
        <v>106.2</v>
      </c>
      <c r="H110" s="3" t="n">
        <v>400</v>
      </c>
      <c r="I110" s="3" t="n">
        <v>400</v>
      </c>
      <c r="J110" s="4" t="n">
        <v>10</v>
      </c>
      <c r="K110" s="4">
        <f>IF(ISNUMBER(J110),J110+I110/10,"")</f>
        <v/>
      </c>
      <c r="L110" s="2" t="inlineStr">
        <is>
          <t>billedmålt</t>
        </is>
      </c>
      <c r="M110" s="2" t="inlineStr">
        <is>
          <t>LG</t>
        </is>
      </c>
      <c r="N110" s="2" t="inlineStr">
        <is>
          <t>Billedmålt på LG-foto: nederste VESA-hul 10 cm fra underkant, målt ud fra VESA 400×400 som skala. Usikkerhed ca. ±1 cm.</t>
        </is>
      </c>
    </row>
    <row r="111">
      <c r="A111" s="2" t="inlineStr">
        <is>
          <t>LG</t>
        </is>
      </c>
      <c r="B111" s="2" t="inlineStr">
        <is>
          <t>OLED C4</t>
        </is>
      </c>
      <c r="C111" s="2" t="inlineStr">
        <is>
          <t>OLED C46</t>
        </is>
      </c>
      <c r="D111" s="2" t="inlineStr">
        <is>
          <t>OLED83C46LA</t>
        </is>
      </c>
      <c r="E111" s="3" t="n">
        <v>83</v>
      </c>
      <c r="F111" s="3" t="n">
        <v>2024</v>
      </c>
      <c r="G111" s="4" t="n">
        <v>106.2</v>
      </c>
      <c r="H111" s="3" t="n">
        <v>400</v>
      </c>
      <c r="I111" s="3" t="n">
        <v>400</v>
      </c>
      <c r="J111" s="4" t="n">
        <v>10</v>
      </c>
      <c r="K111" s="4">
        <f>IF(ISNUMBER(J111),J111+I111/10,"")</f>
        <v/>
      </c>
      <c r="L111" s="2" t="inlineStr">
        <is>
          <t>samme bagside</t>
        </is>
      </c>
      <c r="M111" s="2" t="inlineStr">
        <is>
          <t>LG</t>
        </is>
      </c>
      <c r="N111" s="2" t="inlineStr">
        <is>
          <t>Samme serie, årgang, størrelse og VESA som OLED83C44LA (10 cm). Regional variant med samme bagside.</t>
        </is>
      </c>
    </row>
    <row r="112">
      <c r="A112" s="2" t="inlineStr">
        <is>
          <t>LG</t>
        </is>
      </c>
      <c r="B112" s="2" t="inlineStr">
        <is>
          <t>OLED C4</t>
        </is>
      </c>
      <c r="C112" s="2" t="inlineStr">
        <is>
          <t>OLED C43</t>
        </is>
      </c>
      <c r="D112" s="2" t="inlineStr">
        <is>
          <t>OLED77C43LA</t>
        </is>
      </c>
      <c r="E112" s="3" t="n">
        <v>77</v>
      </c>
      <c r="F112" s="3" t="n">
        <v>2024</v>
      </c>
      <c r="G112" s="4" t="n">
        <v>98.2</v>
      </c>
      <c r="H112" s="3" t="n">
        <v>300</v>
      </c>
      <c r="I112" s="3" t="n">
        <v>200</v>
      </c>
      <c r="J112" s="4" t="n"/>
      <c r="K112" s="4">
        <f>IF(ISNUMBER(J112),J112+I112/10,"")</f>
        <v/>
      </c>
      <c r="L112" s="2" t="inlineStr">
        <is>
          <t>estimat</t>
        </is>
      </c>
      <c r="M112" s="2" t="inlineStr"/>
      <c r="N112" s="2" t="inlineStr"/>
    </row>
    <row r="113">
      <c r="A113" s="2" t="inlineStr">
        <is>
          <t>LG</t>
        </is>
      </c>
      <c r="B113" s="2" t="inlineStr">
        <is>
          <t>OLED C4</t>
        </is>
      </c>
      <c r="C113" s="2" t="inlineStr">
        <is>
          <t>OLED C44</t>
        </is>
      </c>
      <c r="D113" s="2" t="inlineStr">
        <is>
          <t>OLED77C44LA</t>
        </is>
      </c>
      <c r="E113" s="3" t="n">
        <v>77</v>
      </c>
      <c r="F113" s="3" t="n">
        <v>2024</v>
      </c>
      <c r="G113" s="4" t="n">
        <v>98.2</v>
      </c>
      <c r="H113" s="3" t="n">
        <v>300</v>
      </c>
      <c r="I113" s="3" t="n">
        <v>200</v>
      </c>
      <c r="J113" s="4" t="n"/>
      <c r="K113" s="4">
        <f>IF(ISNUMBER(J113),J113+I113/10,"")</f>
        <v/>
      </c>
      <c r="L113" s="2" t="inlineStr">
        <is>
          <t>estimat</t>
        </is>
      </c>
      <c r="M113" s="2" t="inlineStr"/>
      <c r="N113" s="2" t="inlineStr"/>
    </row>
    <row r="114">
      <c r="A114" s="2" t="inlineStr">
        <is>
          <t>LG</t>
        </is>
      </c>
      <c r="B114" s="2" t="inlineStr">
        <is>
          <t>OLED C4</t>
        </is>
      </c>
      <c r="C114" s="2" t="inlineStr">
        <is>
          <t>OLED C45</t>
        </is>
      </c>
      <c r="D114" s="2" t="inlineStr">
        <is>
          <t>OLED77C45LA</t>
        </is>
      </c>
      <c r="E114" s="3" t="n">
        <v>77</v>
      </c>
      <c r="F114" s="3" t="n">
        <v>2024</v>
      </c>
      <c r="G114" s="4" t="n">
        <v>98.2</v>
      </c>
      <c r="H114" s="3" t="n">
        <v>300</v>
      </c>
      <c r="I114" s="3" t="n">
        <v>200</v>
      </c>
      <c r="J114" s="4" t="n"/>
      <c r="K114" s="4">
        <f>IF(ISNUMBER(J114),J114+I114/10,"")</f>
        <v/>
      </c>
      <c r="L114" s="2" t="inlineStr">
        <is>
          <t>estimat</t>
        </is>
      </c>
      <c r="M114" s="2" t="inlineStr"/>
      <c r="N114" s="2" t="inlineStr"/>
    </row>
    <row r="115">
      <c r="A115" s="2" t="inlineStr">
        <is>
          <t>LG</t>
        </is>
      </c>
      <c r="B115" s="2" t="inlineStr">
        <is>
          <t>OLED C4</t>
        </is>
      </c>
      <c r="C115" s="2" t="inlineStr">
        <is>
          <t>OLED evo C4</t>
        </is>
      </c>
      <c r="D115" s="2" t="inlineStr">
        <is>
          <t>OLED77C46LA, OLED77C49LA, OLED77C48LA, OLED77C43, OLED77C4LA, OLED77C47LA, OLED77C43LA1</t>
        </is>
      </c>
      <c r="E115" s="3" t="n">
        <v>77</v>
      </c>
      <c r="F115" s="3" t="n">
        <v>2024</v>
      </c>
      <c r="G115" s="4" t="n">
        <v>98</v>
      </c>
      <c r="H115" s="3" t="n">
        <v>300</v>
      </c>
      <c r="I115" s="3" t="n">
        <v>200</v>
      </c>
      <c r="J115" s="4" t="n"/>
      <c r="K115" s="4">
        <f>IF(ISNUMBER(J115),J115+I115/10,"")</f>
        <v/>
      </c>
      <c r="L115" s="2" t="inlineStr">
        <is>
          <t>estimat</t>
        </is>
      </c>
      <c r="M115" s="2" t="inlineStr"/>
      <c r="N115" s="2" t="inlineStr">
        <is>
          <t>VESA rettet til 300×200 (LG-specifikation og Icecat; en tidligere kilde havde 300×300).</t>
        </is>
      </c>
    </row>
    <row r="116">
      <c r="A116" s="2" t="inlineStr">
        <is>
          <t>LG</t>
        </is>
      </c>
      <c r="B116" s="2" t="inlineStr">
        <is>
          <t>OLED C4</t>
        </is>
      </c>
      <c r="C116" s="2" t="inlineStr">
        <is>
          <t>OLED C43</t>
        </is>
      </c>
      <c r="D116" s="2" t="inlineStr">
        <is>
          <t>OLED65C43LA</t>
        </is>
      </c>
      <c r="E116" s="3" t="n">
        <v>65</v>
      </c>
      <c r="F116" s="3" t="n">
        <v>2024</v>
      </c>
      <c r="G116" s="4" t="n">
        <v>82.59999999999999</v>
      </c>
      <c r="H116" s="3" t="n">
        <v>300</v>
      </c>
      <c r="I116" s="3" t="n">
        <v>200</v>
      </c>
      <c r="J116" s="4" t="n">
        <v>21.7</v>
      </c>
      <c r="K116" s="4">
        <f>IF(ISNUMBER(J116),J116+I116/10,"")</f>
        <v/>
      </c>
      <c r="L116" s="2" t="inlineStr">
        <is>
          <t>billedmålt</t>
        </is>
      </c>
      <c r="M116" s="2" t="inlineStr">
        <is>
          <t>Icecat</t>
        </is>
      </c>
      <c r="N116" s="2" t="inlineStr">
        <is>
          <t>Billedmålt på Icecat-foto: nederste VESA-hul 21,7 cm fra underkant, målt ud fra VESA 300×200 som skala. Usikkerhed ca. ±1 cm. Billedkontrol (LG): 21,8 cm.</t>
        </is>
      </c>
    </row>
    <row r="117">
      <c r="A117" s="2" t="inlineStr">
        <is>
          <t>LG</t>
        </is>
      </c>
      <c r="B117" s="2" t="inlineStr">
        <is>
          <t>OLED C4</t>
        </is>
      </c>
      <c r="C117" s="2" t="inlineStr">
        <is>
          <t>OLED C44</t>
        </is>
      </c>
      <c r="D117" s="2" t="inlineStr">
        <is>
          <t>OLED65C44LA</t>
        </is>
      </c>
      <c r="E117" s="3" t="n">
        <v>65</v>
      </c>
      <c r="F117" s="3" t="n">
        <v>2024</v>
      </c>
      <c r="G117" s="4" t="n">
        <v>82.59999999999999</v>
      </c>
      <c r="H117" s="3" t="n">
        <v>300</v>
      </c>
      <c r="I117" s="3" t="n">
        <v>200</v>
      </c>
      <c r="J117" s="4" t="n">
        <v>21.8</v>
      </c>
      <c r="K117" s="4">
        <f>IF(ISNUMBER(J117),J117+I117/10,"")</f>
        <v/>
      </c>
      <c r="L117" s="2" t="inlineStr">
        <is>
          <t>samme bagside</t>
        </is>
      </c>
      <c r="M117" s="2" t="inlineStr">
        <is>
          <t>LG</t>
        </is>
      </c>
      <c r="N117" s="2" t="inlineStr">
        <is>
          <t>Samme serie, årgang, størrelse og VESA som OLED65C46LA (21,8 cm). Regional variant med samme bagside.</t>
        </is>
      </c>
    </row>
    <row r="118">
      <c r="A118" s="2" t="inlineStr">
        <is>
          <t>LG</t>
        </is>
      </c>
      <c r="B118" s="2" t="inlineStr">
        <is>
          <t>OLED C4</t>
        </is>
      </c>
      <c r="C118" s="2" t="inlineStr">
        <is>
          <t>OLED C45</t>
        </is>
      </c>
      <c r="D118" s="2" t="inlineStr">
        <is>
          <t>OLED65C45LA</t>
        </is>
      </c>
      <c r="E118" s="3" t="n">
        <v>65</v>
      </c>
      <c r="F118" s="3" t="n">
        <v>2024</v>
      </c>
      <c r="G118" s="4" t="n">
        <v>82.59999999999999</v>
      </c>
      <c r="H118" s="3" t="n">
        <v>300</v>
      </c>
      <c r="I118" s="3" t="n">
        <v>200</v>
      </c>
      <c r="J118" s="4" t="n">
        <v>21.7</v>
      </c>
      <c r="K118" s="4">
        <f>IF(ISNUMBER(J118),J118+I118/10,"")</f>
        <v/>
      </c>
      <c r="L118" s="2" t="inlineStr">
        <is>
          <t>billedmålt</t>
        </is>
      </c>
      <c r="M118" s="2" t="inlineStr">
        <is>
          <t>Icecat</t>
        </is>
      </c>
      <c r="N118" s="2" t="inlineStr">
        <is>
          <t>Billedmålt på Icecat-foto: nederste VESA-hul 21,7 cm fra underkant, målt ud fra VESA 300×200 som skala. Usikkerhed ca. ±1 cm.</t>
        </is>
      </c>
    </row>
    <row r="119">
      <c r="A119" s="2" t="inlineStr">
        <is>
          <t>LG</t>
        </is>
      </c>
      <c r="B119" s="2" t="inlineStr">
        <is>
          <t>OLED C4</t>
        </is>
      </c>
      <c r="C119" s="2" t="inlineStr">
        <is>
          <t>OLED evo C4</t>
        </is>
      </c>
      <c r="D119" s="2" t="inlineStr">
        <is>
          <t>OLED65C46LA, OLED65C49LA, OLED65C47LA, OLED65C4LA, OLED65C48LA, OLED65C43</t>
        </is>
      </c>
      <c r="E119" s="3" t="n">
        <v>65</v>
      </c>
      <c r="F119" s="3" t="n">
        <v>2024</v>
      </c>
      <c r="G119" s="4" t="n">
        <v>82.8</v>
      </c>
      <c r="H119" s="3" t="n">
        <v>300</v>
      </c>
      <c r="I119" s="3" t="n">
        <v>200</v>
      </c>
      <c r="J119" s="4" t="n">
        <v>21.8</v>
      </c>
      <c r="K119" s="4">
        <f>IF(ISNUMBER(J119),J119+I119/10,"")</f>
        <v/>
      </c>
      <c r="L119" s="2" t="inlineStr">
        <is>
          <t>billedmålt</t>
        </is>
      </c>
      <c r="M119" s="2" t="inlineStr">
        <is>
          <t>LG</t>
        </is>
      </c>
      <c r="N119" s="2" t="inlineStr">
        <is>
          <t>Billedmålt på LG-foto: nederste VESA-hul 21,8 cm fra underkant, målt ud fra VESA 300×200 som skala. Usikkerhed ca. ±1 cm.</t>
        </is>
      </c>
    </row>
    <row r="120">
      <c r="A120" s="2" t="inlineStr">
        <is>
          <t>LG</t>
        </is>
      </c>
      <c r="B120" s="2" t="inlineStr">
        <is>
          <t>OLED C4</t>
        </is>
      </c>
      <c r="C120" s="2" t="inlineStr">
        <is>
          <t>OLED C43</t>
        </is>
      </c>
      <c r="D120" s="2" t="inlineStr">
        <is>
          <t>OLED55C43LA</t>
        </is>
      </c>
      <c r="E120" s="3" t="n">
        <v>55</v>
      </c>
      <c r="F120" s="3" t="n">
        <v>2024</v>
      </c>
      <c r="G120" s="4" t="n">
        <v>70.3</v>
      </c>
      <c r="H120" s="3" t="n">
        <v>300</v>
      </c>
      <c r="I120" s="3" t="n">
        <v>200</v>
      </c>
      <c r="J120" s="4" t="n">
        <v>21.8</v>
      </c>
      <c r="K120" s="4">
        <f>IF(ISNUMBER(J120),J120+I120/10,"")</f>
        <v/>
      </c>
      <c r="L120" s="2" t="inlineStr">
        <is>
          <t>billedmålt</t>
        </is>
      </c>
      <c r="M120" s="2" t="inlineStr">
        <is>
          <t>LG</t>
        </is>
      </c>
      <c r="N120" s="2" t="inlineStr">
        <is>
          <t>Billedmålt på LG-foto: nederste VESA-hul 21,8 cm fra underkant, målt ud fra VESA 300×200 som skala. Usikkerhed ca. ±1 cm.</t>
        </is>
      </c>
    </row>
    <row r="121">
      <c r="A121" s="2" t="inlineStr">
        <is>
          <t>LG</t>
        </is>
      </c>
      <c r="B121" s="2" t="inlineStr">
        <is>
          <t>OLED C4</t>
        </is>
      </c>
      <c r="C121" s="2" t="inlineStr">
        <is>
          <t>OLED C44</t>
        </is>
      </c>
      <c r="D121" s="2" t="inlineStr">
        <is>
          <t>OLED55C44LA</t>
        </is>
      </c>
      <c r="E121" s="3" t="n">
        <v>55</v>
      </c>
      <c r="F121" s="3" t="n">
        <v>2024</v>
      </c>
      <c r="G121" s="4" t="n">
        <v>70.3</v>
      </c>
      <c r="H121" s="3" t="n">
        <v>300</v>
      </c>
      <c r="I121" s="3" t="n">
        <v>200</v>
      </c>
      <c r="J121" s="4" t="n">
        <v>21.7</v>
      </c>
      <c r="K121" s="4">
        <f>IF(ISNUMBER(J121),J121+I121/10,"")</f>
        <v/>
      </c>
      <c r="L121" s="2" t="inlineStr">
        <is>
          <t>samme bagside</t>
        </is>
      </c>
      <c r="M121" s="2" t="inlineStr">
        <is>
          <t>Which?</t>
        </is>
      </c>
      <c r="N121" s="2" t="inlineStr">
        <is>
          <t>Samme serie, årgang, størrelse og VESA som OLED55C46LA (21,7 cm). Regional variant med samme bagside.</t>
        </is>
      </c>
    </row>
    <row r="122">
      <c r="A122" s="2" t="inlineStr">
        <is>
          <t>LG</t>
        </is>
      </c>
      <c r="B122" s="2" t="inlineStr">
        <is>
          <t>OLED C4</t>
        </is>
      </c>
      <c r="C122" s="2" t="inlineStr">
        <is>
          <t>OLED C45</t>
        </is>
      </c>
      <c r="D122" s="2" t="inlineStr">
        <is>
          <t>OLED55C45LA</t>
        </is>
      </c>
      <c r="E122" s="3" t="n">
        <v>55</v>
      </c>
      <c r="F122" s="3" t="n">
        <v>2024</v>
      </c>
      <c r="G122" s="4" t="n">
        <v>70.3</v>
      </c>
      <c r="H122" s="3" t="n">
        <v>300</v>
      </c>
      <c r="I122" s="3" t="n">
        <v>200</v>
      </c>
      <c r="J122" s="4" t="n">
        <v>21.8</v>
      </c>
      <c r="K122" s="4">
        <f>IF(ISNUMBER(J122),J122+I122/10,"")</f>
        <v/>
      </c>
      <c r="L122" s="2" t="inlineStr">
        <is>
          <t>billedmålt</t>
        </is>
      </c>
      <c r="M122" s="2" t="inlineStr">
        <is>
          <t>Icecat</t>
        </is>
      </c>
      <c r="N122" s="2" t="inlineStr">
        <is>
          <t>Billedmålt på Icecat-foto: nederste VESA-hul 21,8 cm fra underkant, målt ud fra VESA 300×200 som skala. Usikkerhed ca. ±1 cm.</t>
        </is>
      </c>
    </row>
    <row r="123">
      <c r="A123" s="2" t="inlineStr">
        <is>
          <t>LG</t>
        </is>
      </c>
      <c r="B123" s="2" t="inlineStr">
        <is>
          <t>OLED C4</t>
        </is>
      </c>
      <c r="C123" s="2" t="inlineStr">
        <is>
          <t>OLED evo C4</t>
        </is>
      </c>
      <c r="D123" s="2" t="inlineStr">
        <is>
          <t>OLED55C46LA, OLED55C49LA, OLED55C47LA, OLED55C48LA, OLED55C43</t>
        </is>
      </c>
      <c r="E123" s="3" t="n">
        <v>55</v>
      </c>
      <c r="F123" s="3" t="n">
        <v>2024</v>
      </c>
      <c r="G123" s="4" t="n">
        <v>70.8</v>
      </c>
      <c r="H123" s="3" t="n">
        <v>300</v>
      </c>
      <c r="I123" s="3" t="n">
        <v>200</v>
      </c>
      <c r="J123" s="4" t="n">
        <v>21.7</v>
      </c>
      <c r="K123" s="4">
        <f>IF(ISNUMBER(J123),J123+I123/10,"")</f>
        <v/>
      </c>
      <c r="L123" s="2" t="inlineStr">
        <is>
          <t>billedmålt</t>
        </is>
      </c>
      <c r="M123" s="2" t="inlineStr">
        <is>
          <t>Which?</t>
        </is>
      </c>
      <c r="N123" s="2" t="inlineStr">
        <is>
          <t>Billedmålt på Which?-foto (lg-oled55c46la): nederste VESA-hul 21,7 cm fra underkant, målt ud fra VESA 300×200 som skala. Usikkerhed ca. ±1 cm. Billedkontrol (MediaMarkt): 21,8 cm. Billedkontrol (LG): 21,5 cm.</t>
        </is>
      </c>
    </row>
    <row r="124">
      <c r="A124" s="2" t="inlineStr">
        <is>
          <t>LG</t>
        </is>
      </c>
      <c r="B124" s="2" t="inlineStr">
        <is>
          <t>OLED C4</t>
        </is>
      </c>
      <c r="C124" s="2" t="inlineStr">
        <is>
          <t>OLED C43</t>
        </is>
      </c>
      <c r="D124" s="2" t="inlineStr">
        <is>
          <t>OLED48C43LA, OLED48C49LA, OLED48C47LA, OLED48C48LA</t>
        </is>
      </c>
      <c r="E124" s="3" t="n">
        <v>48</v>
      </c>
      <c r="F124" s="3" t="n">
        <v>2024</v>
      </c>
      <c r="G124" s="4" t="n">
        <v>62</v>
      </c>
      <c r="H124" s="3" t="n">
        <v>300</v>
      </c>
      <c r="I124" s="3" t="n">
        <v>200</v>
      </c>
      <c r="J124" s="4" t="n"/>
      <c r="K124" s="4">
        <f>IF(ISNUMBER(J124),J124+I124/10,"")</f>
        <v/>
      </c>
      <c r="L124" s="2" t="inlineStr">
        <is>
          <t>estimat</t>
        </is>
      </c>
      <c r="M124" s="2" t="inlineStr"/>
      <c r="N124" s="2" t="inlineStr"/>
    </row>
    <row r="125">
      <c r="A125" s="2" t="inlineStr">
        <is>
          <t>LG</t>
        </is>
      </c>
      <c r="B125" s="2" t="inlineStr">
        <is>
          <t>OLED C4</t>
        </is>
      </c>
      <c r="C125" s="2" t="inlineStr">
        <is>
          <t>OLED C44</t>
        </is>
      </c>
      <c r="D125" s="2" t="inlineStr">
        <is>
          <t>OLED48C44LA</t>
        </is>
      </c>
      <c r="E125" s="3" t="n">
        <v>48</v>
      </c>
      <c r="F125" s="3" t="n">
        <v>2024</v>
      </c>
      <c r="G125" s="4" t="n">
        <v>62</v>
      </c>
      <c r="H125" s="3" t="n">
        <v>300</v>
      </c>
      <c r="I125" s="3" t="n">
        <v>200</v>
      </c>
      <c r="J125" s="4" t="n"/>
      <c r="K125" s="4">
        <f>IF(ISNUMBER(J125),J125+I125/10,"")</f>
        <v/>
      </c>
      <c r="L125" s="2" t="inlineStr">
        <is>
          <t>estimat</t>
        </is>
      </c>
      <c r="M125" s="2" t="inlineStr"/>
      <c r="N125" s="2" t="inlineStr"/>
    </row>
    <row r="126">
      <c r="A126" s="2" t="inlineStr">
        <is>
          <t>LG</t>
        </is>
      </c>
      <c r="B126" s="2" t="inlineStr">
        <is>
          <t>OLED C4</t>
        </is>
      </c>
      <c r="C126" s="2" t="inlineStr">
        <is>
          <t>OLED C45</t>
        </is>
      </c>
      <c r="D126" s="2" t="inlineStr">
        <is>
          <t>OLED48C45LA</t>
        </is>
      </c>
      <c r="E126" s="3" t="n">
        <v>48</v>
      </c>
      <c r="F126" s="3" t="n">
        <v>2024</v>
      </c>
      <c r="G126" s="4" t="n">
        <v>62</v>
      </c>
      <c r="H126" s="3" t="n">
        <v>300</v>
      </c>
      <c r="I126" s="3" t="n">
        <v>200</v>
      </c>
      <c r="J126" s="4" t="n"/>
      <c r="K126" s="4">
        <f>IF(ISNUMBER(J126),J126+I126/10,"")</f>
        <v/>
      </c>
      <c r="L126" s="2" t="inlineStr">
        <is>
          <t>estimat</t>
        </is>
      </c>
      <c r="M126" s="2" t="inlineStr"/>
      <c r="N126" s="2" t="inlineStr"/>
    </row>
    <row r="127">
      <c r="A127" s="2" t="inlineStr">
        <is>
          <t>LG</t>
        </is>
      </c>
      <c r="B127" s="2" t="inlineStr">
        <is>
          <t>OLED C4</t>
        </is>
      </c>
      <c r="C127" s="2" t="inlineStr">
        <is>
          <t>OLED C46</t>
        </is>
      </c>
      <c r="D127" s="2" t="inlineStr">
        <is>
          <t>OLED48C46LA</t>
        </is>
      </c>
      <c r="E127" s="3" t="n">
        <v>48</v>
      </c>
      <c r="F127" s="3" t="n">
        <v>2024</v>
      </c>
      <c r="G127" s="4" t="n">
        <v>62</v>
      </c>
      <c r="H127" s="3" t="n">
        <v>300</v>
      </c>
      <c r="I127" s="3" t="n">
        <v>200</v>
      </c>
      <c r="J127" s="4" t="n"/>
      <c r="K127" s="4">
        <f>IF(ISNUMBER(J127),J127+I127/10,"")</f>
        <v/>
      </c>
      <c r="L127" s="2" t="inlineStr">
        <is>
          <t>estimat</t>
        </is>
      </c>
      <c r="M127" s="2" t="inlineStr"/>
      <c r="N127" s="2" t="inlineStr"/>
    </row>
    <row r="128">
      <c r="A128" s="2" t="inlineStr">
        <is>
          <t>LG</t>
        </is>
      </c>
      <c r="B128" s="2" t="inlineStr">
        <is>
          <t>OLED C4</t>
        </is>
      </c>
      <c r="C128" s="2" t="inlineStr">
        <is>
          <t>OLED C44</t>
        </is>
      </c>
      <c r="D128" s="2" t="inlineStr">
        <is>
          <t>OLED42C44LA, OLED42C47LA, OLED42C48LA</t>
        </is>
      </c>
      <c r="E128" s="3" t="n">
        <v>42</v>
      </c>
      <c r="F128" s="3" t="n">
        <v>2024</v>
      </c>
      <c r="G128" s="4" t="n">
        <v>54</v>
      </c>
      <c r="H128" s="3" t="n">
        <v>300</v>
      </c>
      <c r="I128" s="3" t="n">
        <v>200</v>
      </c>
      <c r="J128" s="4" t="n">
        <v>19.9</v>
      </c>
      <c r="K128" s="4">
        <f>IF(ISNUMBER(J128),J128+I128/10,"")</f>
        <v/>
      </c>
      <c r="L128" s="2" t="inlineStr">
        <is>
          <t>samme bagside</t>
        </is>
      </c>
      <c r="M128" s="2" t="inlineStr">
        <is>
          <t>LG</t>
        </is>
      </c>
      <c r="N128" s="2" t="inlineStr">
        <is>
          <t>Samme serie, årgang, størrelse og VESA som OLED42C45LA (19,9 cm). Regional variant med samme bagside.</t>
        </is>
      </c>
    </row>
    <row r="129">
      <c r="A129" s="2" t="inlineStr">
        <is>
          <t>LG</t>
        </is>
      </c>
      <c r="B129" s="2" t="inlineStr">
        <is>
          <t>OLED C4</t>
        </is>
      </c>
      <c r="C129" s="2" t="inlineStr">
        <is>
          <t>OLED C45</t>
        </is>
      </c>
      <c r="D129" s="2" t="inlineStr">
        <is>
          <t>OLED42C45LA</t>
        </is>
      </c>
      <c r="E129" s="3" t="n">
        <v>42</v>
      </c>
      <c r="F129" s="3" t="n">
        <v>2024</v>
      </c>
      <c r="G129" s="4" t="n">
        <v>54</v>
      </c>
      <c r="H129" s="3" t="n">
        <v>300</v>
      </c>
      <c r="I129" s="3" t="n">
        <v>200</v>
      </c>
      <c r="J129" s="4" t="n">
        <v>19.9</v>
      </c>
      <c r="K129" s="4">
        <f>IF(ISNUMBER(J129),J129+I129/10,"")</f>
        <v/>
      </c>
      <c r="L129" s="2" t="inlineStr">
        <is>
          <t>billedmålt</t>
        </is>
      </c>
      <c r="M129" s="2" t="inlineStr">
        <is>
          <t>LG</t>
        </is>
      </c>
      <c r="N129" s="2" t="inlineStr">
        <is>
          <t>Billedmålt på LG-foto: nederste VESA-hul 19,9 cm fra underkant, målt ud fra VESA 300×200 som skala. Usikkerhed ca. ±1 cm.</t>
        </is>
      </c>
    </row>
    <row r="130">
      <c r="A130" s="2" t="inlineStr">
        <is>
          <t>LG</t>
        </is>
      </c>
      <c r="B130" s="2" t="inlineStr">
        <is>
          <t>OLED C5</t>
        </is>
      </c>
      <c r="C130" s="2" t="inlineStr">
        <is>
          <t>OLED C54</t>
        </is>
      </c>
      <c r="D130" s="2" t="inlineStr">
        <is>
          <t>OLED83C54LA</t>
        </is>
      </c>
      <c r="E130" s="3" t="n">
        <v>83</v>
      </c>
      <c r="F130" s="3" t="n">
        <v>2025</v>
      </c>
      <c r="G130" s="4" t="n">
        <v>105.5</v>
      </c>
      <c r="H130" s="3" t="n">
        <v>400</v>
      </c>
      <c r="I130" s="3" t="n">
        <v>400</v>
      </c>
      <c r="J130" s="4" t="n"/>
      <c r="K130" s="4">
        <f>IF(ISNUMBER(J130),J130+I130/10,"")</f>
        <v/>
      </c>
      <c r="L130" s="2" t="inlineStr">
        <is>
          <t>estimat</t>
        </is>
      </c>
      <c r="M130" s="2" t="inlineStr"/>
      <c r="N130" s="2" t="inlineStr"/>
    </row>
    <row r="131">
      <c r="A131" s="2" t="inlineStr">
        <is>
          <t>LG</t>
        </is>
      </c>
      <c r="B131" s="2" t="inlineStr">
        <is>
          <t>OLED C5</t>
        </is>
      </c>
      <c r="C131" s="2" t="inlineStr">
        <is>
          <t>OLED C5</t>
        </is>
      </c>
      <c r="D131" s="2" t="inlineStr">
        <is>
          <t>OLED83C5ELA, OLED83C56LA, OLED83C57LA, OLED83C59LA, OLED83C54, OLED83C5E, OLED83C5ELB</t>
        </is>
      </c>
      <c r="E131" s="3" t="n">
        <v>83</v>
      </c>
      <c r="F131" s="3" t="n">
        <v>2025</v>
      </c>
      <c r="G131" s="4" t="n">
        <v>105.5</v>
      </c>
      <c r="H131" s="3" t="n">
        <v>400</v>
      </c>
      <c r="I131" s="3" t="n">
        <v>400</v>
      </c>
      <c r="J131" s="4" t="n"/>
      <c r="K131" s="4">
        <f>IF(ISNUMBER(J131),J131+I131/10,"")</f>
        <v/>
      </c>
      <c r="L131" s="2" t="inlineStr">
        <is>
          <t>estimat</t>
        </is>
      </c>
      <c r="M131" s="2" t="inlineStr"/>
      <c r="N131" s="2" t="inlineStr"/>
    </row>
    <row r="132">
      <c r="A132" s="2" t="inlineStr">
        <is>
          <t>LG</t>
        </is>
      </c>
      <c r="B132" s="2" t="inlineStr">
        <is>
          <t>OLED C5</t>
        </is>
      </c>
      <c r="C132" s="2" t="inlineStr">
        <is>
          <t>OLED C54</t>
        </is>
      </c>
      <c r="D132" s="2" t="inlineStr">
        <is>
          <t>OLED77C54LA</t>
        </is>
      </c>
      <c r="E132" s="3" t="n">
        <v>77</v>
      </c>
      <c r="F132" s="3" t="n">
        <v>2025</v>
      </c>
      <c r="G132" s="4" t="n">
        <v>98.2</v>
      </c>
      <c r="H132" s="3" t="n">
        <v>300</v>
      </c>
      <c r="I132" s="3" t="n">
        <v>200</v>
      </c>
      <c r="J132" s="4" t="n">
        <v>33.6</v>
      </c>
      <c r="K132" s="4">
        <f>IF(ISNUMBER(J132),J132+I132/10,"")</f>
        <v/>
      </c>
      <c r="L132" s="2" t="inlineStr">
        <is>
          <t>billedmålt</t>
        </is>
      </c>
      <c r="M132" s="2" t="inlineStr">
        <is>
          <t>MediaMarkt</t>
        </is>
      </c>
      <c r="N132" s="2" t="inlineStr">
        <is>
          <t>Billedmålt på MediaMarkt-foto: nederste VESA-hul 33,6 cm fra underkant, målt ud fra VESA 300×200 som skala. Usikkerhed ca. ±1 cm.</t>
        </is>
      </c>
    </row>
    <row r="133">
      <c r="A133" s="2" t="inlineStr">
        <is>
          <t>LG</t>
        </is>
      </c>
      <c r="B133" s="2" t="inlineStr">
        <is>
          <t>OLED C5</t>
        </is>
      </c>
      <c r="C133" s="2" t="inlineStr">
        <is>
          <t>OLED C55</t>
        </is>
      </c>
      <c r="D133" s="2" t="inlineStr">
        <is>
          <t>OLED77C55LA</t>
        </is>
      </c>
      <c r="E133" s="3" t="n">
        <v>77</v>
      </c>
      <c r="F133" s="3" t="n">
        <v>2025</v>
      </c>
      <c r="G133" s="4" t="n">
        <v>98.2</v>
      </c>
      <c r="H133" s="3" t="n">
        <v>300</v>
      </c>
      <c r="I133" s="3" t="n">
        <v>200</v>
      </c>
      <c r="J133" s="4" t="n">
        <v>33.6</v>
      </c>
      <c r="K133" s="4">
        <f>IF(ISNUMBER(J133),J133+I133/10,"")</f>
        <v/>
      </c>
      <c r="L133" s="2" t="inlineStr">
        <is>
          <t>samme bagside</t>
        </is>
      </c>
      <c r="M133" s="2" t="inlineStr">
        <is>
          <t>LG</t>
        </is>
      </c>
      <c r="N133" s="2" t="inlineStr">
        <is>
          <t>Samme serie, årgang, størrelse og VESA som OLED77C5ELB (33,6 cm). Regional variant med samme bagside.</t>
        </is>
      </c>
    </row>
    <row r="134">
      <c r="A134" s="2" t="inlineStr">
        <is>
          <t>LG</t>
        </is>
      </c>
      <c r="B134" s="2" t="inlineStr">
        <is>
          <t>OLED C5</t>
        </is>
      </c>
      <c r="C134" s="2" t="inlineStr">
        <is>
          <t>OLED C56</t>
        </is>
      </c>
      <c r="D134" s="2" t="inlineStr">
        <is>
          <t>OLED77C56LB</t>
        </is>
      </c>
      <c r="E134" s="3" t="n">
        <v>77</v>
      </c>
      <c r="F134" s="3" t="n">
        <v>2025</v>
      </c>
      <c r="G134" s="4" t="n">
        <v>98.2</v>
      </c>
      <c r="H134" s="3" t="n">
        <v>300</v>
      </c>
      <c r="I134" s="3" t="n">
        <v>200</v>
      </c>
      <c r="J134" s="4" t="n">
        <v>33.6</v>
      </c>
      <c r="K134" s="4">
        <f>IF(ISNUMBER(J134),J134+I134/10,"")</f>
        <v/>
      </c>
      <c r="L134" s="2" t="inlineStr">
        <is>
          <t>samme bagside</t>
        </is>
      </c>
      <c r="M134" s="2" t="inlineStr">
        <is>
          <t>LG</t>
        </is>
      </c>
      <c r="N134" s="2" t="inlineStr">
        <is>
          <t>Samme serie, årgang, størrelse og VESA som OLED77C5ELB (33,6 cm). Regional variant med samme bagside.</t>
        </is>
      </c>
    </row>
    <row r="135">
      <c r="A135" s="2" t="inlineStr">
        <is>
          <t>LG</t>
        </is>
      </c>
      <c r="B135" s="2" t="inlineStr">
        <is>
          <t>OLED C5</t>
        </is>
      </c>
      <c r="C135" s="2" t="inlineStr">
        <is>
          <t>OLED C5</t>
        </is>
      </c>
      <c r="D135" s="2" t="inlineStr">
        <is>
          <t>OLED77C5ELB, OLED77C57LA, OLED77C55, OLED77C59LB, OLED77C58LA, OLED77C5E</t>
        </is>
      </c>
      <c r="E135" s="3" t="n">
        <v>77</v>
      </c>
      <c r="F135" s="3" t="n">
        <v>2025</v>
      </c>
      <c r="G135" s="4" t="n">
        <v>98.2</v>
      </c>
      <c r="H135" s="3" t="n">
        <v>300</v>
      </c>
      <c r="I135" s="3" t="n">
        <v>200</v>
      </c>
      <c r="J135" s="4" t="n">
        <v>33.6</v>
      </c>
      <c r="K135" s="4">
        <f>IF(ISNUMBER(J135),J135+I135/10,"")</f>
        <v/>
      </c>
      <c r="L135" s="2" t="inlineStr">
        <is>
          <t>billedmålt</t>
        </is>
      </c>
      <c r="M135" s="2" t="inlineStr">
        <is>
          <t>LG</t>
        </is>
      </c>
      <c r="N135" s="2" t="inlineStr">
        <is>
          <t>Billedmålt på LG-foto: nederste VESA-hul 33,6 cm fra underkant, målt ud fra VESA 300×200 som skala. Usikkerhed ca. ±1 cm.</t>
        </is>
      </c>
    </row>
    <row r="136">
      <c r="A136" s="2" t="inlineStr">
        <is>
          <t>LG</t>
        </is>
      </c>
      <c r="B136" s="2" t="inlineStr">
        <is>
          <t>OLED C5</t>
        </is>
      </c>
      <c r="C136" s="2" t="inlineStr">
        <is>
          <t>OLED C54</t>
        </is>
      </c>
      <c r="D136" s="2" t="inlineStr">
        <is>
          <t>OLED65C54LA</t>
        </is>
      </c>
      <c r="E136" s="3" t="n">
        <v>65</v>
      </c>
      <c r="F136" s="3" t="n">
        <v>2025</v>
      </c>
      <c r="G136" s="4" t="n">
        <v>82.59999999999999</v>
      </c>
      <c r="H136" s="3" t="n">
        <v>300</v>
      </c>
      <c r="I136" s="3" t="n">
        <v>200</v>
      </c>
      <c r="J136" s="4" t="n">
        <v>21.8</v>
      </c>
      <c r="K136" s="4">
        <f>IF(ISNUMBER(J136),J136+I136/10,"")</f>
        <v/>
      </c>
      <c r="L136" s="2" t="inlineStr">
        <is>
          <t>billedmålt</t>
        </is>
      </c>
      <c r="M136" s="2" t="inlineStr">
        <is>
          <t>Which?</t>
        </is>
      </c>
      <c r="N136" s="2" t="inlineStr">
        <is>
          <t>Billedmålt på Which?-foto (lg-oled65c54la): nederste VESA-hul 21,8 cm fra underkant, målt ud fra VESA 300×200 som skala. Usikkerhed ca. ±1 cm. Billedkontrol (Elgiganten): 21,8 cm.</t>
        </is>
      </c>
    </row>
    <row r="137">
      <c r="A137" s="2" t="inlineStr">
        <is>
          <t>LG</t>
        </is>
      </c>
      <c r="B137" s="2" t="inlineStr">
        <is>
          <t>OLED C5</t>
        </is>
      </c>
      <c r="C137" s="2" t="inlineStr">
        <is>
          <t>OLED C55</t>
        </is>
      </c>
      <c r="D137" s="2" t="inlineStr">
        <is>
          <t>OLED65C55LA</t>
        </is>
      </c>
      <c r="E137" s="3" t="n">
        <v>65</v>
      </c>
      <c r="F137" s="3" t="n">
        <v>2025</v>
      </c>
      <c r="G137" s="4" t="n">
        <v>82.59999999999999</v>
      </c>
      <c r="H137" s="3" t="n">
        <v>300</v>
      </c>
      <c r="I137" s="3" t="n">
        <v>200</v>
      </c>
      <c r="J137" s="4" t="n">
        <v>21.9</v>
      </c>
      <c r="K137" s="4">
        <f>IF(ISNUMBER(J137),J137+I137/10,"")</f>
        <v/>
      </c>
      <c r="L137" s="2" t="inlineStr">
        <is>
          <t>samme bagside</t>
        </is>
      </c>
      <c r="M137" s="2" t="inlineStr">
        <is>
          <t>LG</t>
        </is>
      </c>
      <c r="N137" s="2" t="inlineStr">
        <is>
          <t>Samme serie, årgang, størrelse og VESA som OLED65C5ELB (21,9 cm). Regional variant med samme bagside.</t>
        </is>
      </c>
    </row>
    <row r="138">
      <c r="A138" s="2" t="inlineStr">
        <is>
          <t>LG</t>
        </is>
      </c>
      <c r="B138" s="2" t="inlineStr">
        <is>
          <t>OLED C5</t>
        </is>
      </c>
      <c r="C138" s="2" t="inlineStr">
        <is>
          <t>OLED C56</t>
        </is>
      </c>
      <c r="D138" s="2" t="inlineStr">
        <is>
          <t>OLED65C56LB</t>
        </is>
      </c>
      <c r="E138" s="3" t="n">
        <v>65</v>
      </c>
      <c r="F138" s="3" t="n">
        <v>2025</v>
      </c>
      <c r="G138" s="4" t="n">
        <v>82.59999999999999</v>
      </c>
      <c r="H138" s="3" t="n">
        <v>300</v>
      </c>
      <c r="I138" s="3" t="n">
        <v>200</v>
      </c>
      <c r="J138" s="4" t="n">
        <v>21.8</v>
      </c>
      <c r="K138" s="4">
        <f>IF(ISNUMBER(J138),J138+I138/10,"")</f>
        <v/>
      </c>
      <c r="L138" s="2" t="inlineStr">
        <is>
          <t>billedmålt</t>
        </is>
      </c>
      <c r="M138" s="2" t="inlineStr">
        <is>
          <t>Which?</t>
        </is>
      </c>
      <c r="N138" s="2" t="inlineStr">
        <is>
          <t>Billedmålt på Which?-foto (lg-oled65c56lb): nederste VESA-hul 21,8 cm fra underkant, målt ud fra VESA 300×200 som skala. Usikkerhed ca. ±1 cm.</t>
        </is>
      </c>
    </row>
    <row r="139">
      <c r="A139" s="2" t="inlineStr">
        <is>
          <t>LG</t>
        </is>
      </c>
      <c r="B139" s="2" t="inlineStr">
        <is>
          <t>OLED C5</t>
        </is>
      </c>
      <c r="C139" s="2" t="inlineStr">
        <is>
          <t>OLED C5</t>
        </is>
      </c>
      <c r="D139" s="2" t="inlineStr">
        <is>
          <t>OLED65C5ELB, OLED65C57LA, OLED65C59LB, OLED65C5E, OLED65C58LA, OLED65C55</t>
        </is>
      </c>
      <c r="E139" s="3" t="n">
        <v>65</v>
      </c>
      <c r="F139" s="3" t="n">
        <v>2025</v>
      </c>
      <c r="G139" s="4" t="n">
        <v>82.59999999999999</v>
      </c>
      <c r="H139" s="3" t="n">
        <v>300</v>
      </c>
      <c r="I139" s="3" t="n">
        <v>200</v>
      </c>
      <c r="J139" s="4" t="n">
        <v>21.9</v>
      </c>
      <c r="K139" s="4">
        <f>IF(ISNUMBER(J139),J139+I139/10,"")</f>
        <v/>
      </c>
      <c r="L139" s="2" t="inlineStr">
        <is>
          <t>billedmålt</t>
        </is>
      </c>
      <c r="M139" s="2" t="inlineStr">
        <is>
          <t>LG</t>
        </is>
      </c>
      <c r="N139" s="2" t="inlineStr">
        <is>
          <t>Billedmålt på LG-foto: nederste VESA-hul 21,9 cm fra underkant, målt ud fra VESA 300×200 som skala. Usikkerhed ca. ±1 cm.</t>
        </is>
      </c>
    </row>
    <row r="140">
      <c r="A140" s="2" t="inlineStr">
        <is>
          <t>LG</t>
        </is>
      </c>
      <c r="B140" s="2" t="inlineStr">
        <is>
          <t>OLED C5</t>
        </is>
      </c>
      <c r="C140" s="2" t="inlineStr">
        <is>
          <t>OLED C54</t>
        </is>
      </c>
      <c r="D140" s="2" t="inlineStr">
        <is>
          <t>OLED55C54LA</t>
        </is>
      </c>
      <c r="E140" s="3" t="n">
        <v>55</v>
      </c>
      <c r="F140" s="3" t="n">
        <v>2025</v>
      </c>
      <c r="G140" s="4" t="n">
        <v>70.3</v>
      </c>
      <c r="H140" s="3" t="n">
        <v>300</v>
      </c>
      <c r="I140" s="3" t="n">
        <v>200</v>
      </c>
      <c r="J140" s="4" t="n">
        <v>21.7</v>
      </c>
      <c r="K140" s="4">
        <f>IF(ISNUMBER(J140),J140+I140/10,"")</f>
        <v/>
      </c>
      <c r="L140" s="2" t="inlineStr">
        <is>
          <t>billedmålt</t>
        </is>
      </c>
      <c r="M140" s="2" t="inlineStr">
        <is>
          <t>Which?</t>
        </is>
      </c>
      <c r="N140" s="2" t="inlineStr">
        <is>
          <t>Billedmålt på Which?-foto (lg-oled55c54la): nederste VESA-hul 21,7 cm fra underkant, målt ud fra VESA 300×200 som skala. Usikkerhed ca. ±1 cm. Billedkontrol (MediaMarkt): 21,8 cm. Billedkontrol (Elgiganten): 21,8 cm.</t>
        </is>
      </c>
    </row>
    <row r="141">
      <c r="A141" s="2" t="inlineStr">
        <is>
          <t>LG</t>
        </is>
      </c>
      <c r="B141" s="2" t="inlineStr">
        <is>
          <t>OLED C5</t>
        </is>
      </c>
      <c r="C141" s="2" t="inlineStr">
        <is>
          <t>OLED C55</t>
        </is>
      </c>
      <c r="D141" s="2" t="inlineStr">
        <is>
          <t>OLED55C55LA</t>
        </is>
      </c>
      <c r="E141" s="3" t="n">
        <v>55</v>
      </c>
      <c r="F141" s="3" t="n">
        <v>2025</v>
      </c>
      <c r="G141" s="4" t="n">
        <v>70.3</v>
      </c>
      <c r="H141" s="3" t="n">
        <v>300</v>
      </c>
      <c r="I141" s="3" t="n">
        <v>200</v>
      </c>
      <c r="J141" s="4" t="n">
        <v>21.8</v>
      </c>
      <c r="K141" s="4">
        <f>IF(ISNUMBER(J141),J141+I141/10,"")</f>
        <v/>
      </c>
      <c r="L141" s="2" t="inlineStr">
        <is>
          <t>billedmålt</t>
        </is>
      </c>
      <c r="M141" s="2" t="inlineStr">
        <is>
          <t>MediaMarkt</t>
        </is>
      </c>
      <c r="N141" s="2" t="inlineStr">
        <is>
          <t>Billedmålt på MediaMarkt-foto (foto af OLED55C51LA): nederste VESA-hul 21,8 cm fra underkant, målt ud fra VESA 300×200 som skala. Usikkerhed ca. ±1 cm. Billedkontrol (LG): 22,1 cm.</t>
        </is>
      </c>
    </row>
    <row r="142">
      <c r="A142" s="2" t="inlineStr">
        <is>
          <t>LG</t>
        </is>
      </c>
      <c r="B142" s="2" t="inlineStr">
        <is>
          <t>OLED C5</t>
        </is>
      </c>
      <c r="C142" s="2" t="inlineStr">
        <is>
          <t>OLED C56</t>
        </is>
      </c>
      <c r="D142" s="2" t="inlineStr">
        <is>
          <t>OLED55C56LB</t>
        </is>
      </c>
      <c r="E142" s="3" t="n">
        <v>55</v>
      </c>
      <c r="F142" s="3" t="n">
        <v>2025</v>
      </c>
      <c r="G142" s="4" t="n">
        <v>70.3</v>
      </c>
      <c r="H142" s="3" t="n">
        <v>300</v>
      </c>
      <c r="I142" s="3" t="n">
        <v>200</v>
      </c>
      <c r="J142" s="4" t="n">
        <v>21.7</v>
      </c>
      <c r="K142" s="4">
        <f>IF(ISNUMBER(J142),J142+I142/10,"")</f>
        <v/>
      </c>
      <c r="L142" s="2" t="inlineStr">
        <is>
          <t>billedmålt</t>
        </is>
      </c>
      <c r="M142" s="2" t="inlineStr">
        <is>
          <t>Which?</t>
        </is>
      </c>
      <c r="N142" s="2" t="inlineStr">
        <is>
          <t>Billedmålt på Which?-foto (lg-oled55c56lb): nederste VESA-hul 21,7 cm fra underkant, målt ud fra VESA 300×200 som skala. Usikkerhed ca. ±1 cm. Billedkontrol (MediaMarkt): 21,8 cm.</t>
        </is>
      </c>
    </row>
    <row r="143">
      <c r="A143" s="2" t="inlineStr">
        <is>
          <t>LG</t>
        </is>
      </c>
      <c r="B143" s="2" t="inlineStr">
        <is>
          <t>OLED C5</t>
        </is>
      </c>
      <c r="C143" s="2" t="inlineStr">
        <is>
          <t>OLED C5</t>
        </is>
      </c>
      <c r="D143" s="2" t="inlineStr">
        <is>
          <t>OLED55C5ELB, OLED55C55, OLED55C5E, OLED55C57LA, OLED55C58LA, OLED55C59LB</t>
        </is>
      </c>
      <c r="E143" s="3" t="n">
        <v>55</v>
      </c>
      <c r="F143" s="3" t="n">
        <v>2025</v>
      </c>
      <c r="G143" s="4" t="n">
        <v>70.3</v>
      </c>
      <c r="H143" s="3" t="n">
        <v>300</v>
      </c>
      <c r="I143" s="3" t="n">
        <v>200</v>
      </c>
      <c r="J143" s="4" t="n">
        <v>21.8</v>
      </c>
      <c r="K143" s="4">
        <f>IF(ISNUMBER(J143),J143+I143/10,"")</f>
        <v/>
      </c>
      <c r="L143" s="2" t="inlineStr">
        <is>
          <t>billedmålt</t>
        </is>
      </c>
      <c r="M143" s="2" t="inlineStr">
        <is>
          <t>Which?</t>
        </is>
      </c>
      <c r="N143" s="2" t="inlineStr">
        <is>
          <t>Billedmålt på Which?-foto (lg-oled55c5elb): nederste VESA-hul 21,8 cm fra underkant, målt ud fra VESA 300×200 som skala. Usikkerhed ca. ±1 cm. Billedkontrol (MediaMarkt): 21,8 cm.</t>
        </is>
      </c>
    </row>
    <row r="144">
      <c r="A144" s="2" t="inlineStr">
        <is>
          <t>LG</t>
        </is>
      </c>
      <c r="B144" s="2" t="inlineStr">
        <is>
          <t>OLED C5</t>
        </is>
      </c>
      <c r="C144" s="2" t="inlineStr">
        <is>
          <t>OLED C54</t>
        </is>
      </c>
      <c r="D144" s="2" t="inlineStr">
        <is>
          <t>OLED48C54LA</t>
        </is>
      </c>
      <c r="E144" s="3" t="n">
        <v>48</v>
      </c>
      <c r="F144" s="3" t="n">
        <v>2025</v>
      </c>
      <c r="G144" s="4" t="n">
        <v>61.8</v>
      </c>
      <c r="H144" s="3" t="n">
        <v>300</v>
      </c>
      <c r="I144" s="3" t="n">
        <v>200</v>
      </c>
      <c r="J144" s="4" t="n">
        <v>14.2</v>
      </c>
      <c r="K144" s="4">
        <f>IF(ISNUMBER(J144),J144+I144/10,"")</f>
        <v/>
      </c>
      <c r="L144" s="2" t="inlineStr">
        <is>
          <t>billedmålt</t>
        </is>
      </c>
      <c r="M144" s="2" t="inlineStr">
        <is>
          <t>Which?</t>
        </is>
      </c>
      <c r="N144" s="2" t="inlineStr">
        <is>
          <t>Billedmålt på Which?-foto (lg-oled48c54la): nederste VESA-hul 14,2 cm fra underkant, målt ud fra VESA 300×200 som skala. Usikkerhed ca. ±1 cm.</t>
        </is>
      </c>
    </row>
    <row r="145">
      <c r="A145" s="2" t="inlineStr">
        <is>
          <t>LG</t>
        </is>
      </c>
      <c r="B145" s="2" t="inlineStr">
        <is>
          <t>OLED C5</t>
        </is>
      </c>
      <c r="C145" s="2" t="inlineStr">
        <is>
          <t>OLED C55</t>
        </is>
      </c>
      <c r="D145" s="2" t="inlineStr">
        <is>
          <t>OLED48C55LA</t>
        </is>
      </c>
      <c r="E145" s="3" t="n">
        <v>48</v>
      </c>
      <c r="F145" s="3" t="n">
        <v>2025</v>
      </c>
      <c r="G145" s="4" t="n">
        <v>61.8</v>
      </c>
      <c r="H145" s="3" t="n">
        <v>300</v>
      </c>
      <c r="I145" s="3" t="n">
        <v>200</v>
      </c>
      <c r="J145" s="4" t="n">
        <v>14.2</v>
      </c>
      <c r="K145" s="4">
        <f>IF(ISNUMBER(J145),J145+I145/10,"")</f>
        <v/>
      </c>
      <c r="L145" s="2" t="inlineStr">
        <is>
          <t>billedmålt</t>
        </is>
      </c>
      <c r="M145" s="2" t="inlineStr">
        <is>
          <t>LG</t>
        </is>
      </c>
      <c r="N145" s="2" t="inlineStr">
        <is>
          <t>Billedmålt på LG-foto: nederste VESA-hul 14,2 cm fra underkant, målt ud fra VESA 300×200 som skala. Usikkerhed ca. ±1 cm.</t>
        </is>
      </c>
    </row>
    <row r="146">
      <c r="A146" s="2" t="inlineStr">
        <is>
          <t>LG</t>
        </is>
      </c>
      <c r="B146" s="2" t="inlineStr">
        <is>
          <t>OLED C5</t>
        </is>
      </c>
      <c r="C146" s="2" t="inlineStr">
        <is>
          <t>OLED C56</t>
        </is>
      </c>
      <c r="D146" s="2" t="inlineStr">
        <is>
          <t>OLED48C56LB</t>
        </is>
      </c>
      <c r="E146" s="3" t="n">
        <v>48</v>
      </c>
      <c r="F146" s="3" t="n">
        <v>2025</v>
      </c>
      <c r="G146" s="4" t="n">
        <v>61.8</v>
      </c>
      <c r="H146" s="3" t="n">
        <v>300</v>
      </c>
      <c r="I146" s="3" t="n">
        <v>200</v>
      </c>
      <c r="J146" s="4" t="n">
        <v>14.2</v>
      </c>
      <c r="K146" s="4">
        <f>IF(ISNUMBER(J146),J146+I146/10,"")</f>
        <v/>
      </c>
      <c r="L146" s="2" t="inlineStr">
        <is>
          <t>billedmålt</t>
        </is>
      </c>
      <c r="M146" s="2" t="inlineStr">
        <is>
          <t>Which?</t>
        </is>
      </c>
      <c r="N146" s="2" t="inlineStr">
        <is>
          <t>Billedmålt på Which?-foto (lg-oled48c56lb): nederste VESA-hul 14,2 cm fra underkant, målt ud fra VESA 300×200 som skala. Usikkerhed ca. ±1 cm.</t>
        </is>
      </c>
    </row>
    <row r="147">
      <c r="A147" s="2" t="inlineStr">
        <is>
          <t>LG</t>
        </is>
      </c>
      <c r="B147" s="2" t="inlineStr">
        <is>
          <t>OLED C5</t>
        </is>
      </c>
      <c r="C147" s="2" t="inlineStr">
        <is>
          <t>OLED C5</t>
        </is>
      </c>
      <c r="D147" s="2" t="inlineStr">
        <is>
          <t>OLED48C5ELB, OLED48C57LA, OLED48C58LA, OLED48C59LB</t>
        </is>
      </c>
      <c r="E147" s="3" t="n">
        <v>48</v>
      </c>
      <c r="F147" s="3" t="n">
        <v>2025</v>
      </c>
      <c r="G147" s="4" t="n">
        <v>61.8</v>
      </c>
      <c r="H147" s="3" t="n">
        <v>300</v>
      </c>
      <c r="I147" s="3" t="n">
        <v>200</v>
      </c>
      <c r="J147" s="4" t="n">
        <v>14.2</v>
      </c>
      <c r="K147" s="4">
        <f>IF(ISNUMBER(J147),J147+I147/10,"")</f>
        <v/>
      </c>
      <c r="L147" s="2" t="inlineStr">
        <is>
          <t>samme bagside</t>
        </is>
      </c>
      <c r="M147" s="2" t="inlineStr">
        <is>
          <t>Which?</t>
        </is>
      </c>
      <c r="N147" s="2" t="inlineStr">
        <is>
          <t>Samme serie, årgang, størrelse og VESA som OLED48C54LA (14,2 cm). Regional variant med samme bagside.</t>
        </is>
      </c>
    </row>
    <row r="148">
      <c r="A148" s="2" t="inlineStr">
        <is>
          <t>LG</t>
        </is>
      </c>
      <c r="B148" s="2" t="inlineStr">
        <is>
          <t>OLED C5</t>
        </is>
      </c>
      <c r="C148" s="2" t="inlineStr">
        <is>
          <t>OLED C54</t>
        </is>
      </c>
      <c r="D148" s="2" t="inlineStr">
        <is>
          <t>OLED42C54LA, OLED42C5ELB, OLED42C58LA, OLED42C57LA, OLED42C56LB</t>
        </is>
      </c>
      <c r="E148" s="3" t="n">
        <v>42</v>
      </c>
      <c r="F148" s="3" t="n">
        <v>2025</v>
      </c>
      <c r="G148" s="4" t="n">
        <v>54</v>
      </c>
      <c r="H148" s="3" t="n">
        <v>300</v>
      </c>
      <c r="I148" s="3" t="n">
        <v>200</v>
      </c>
      <c r="J148" s="4" t="n">
        <v>19.9</v>
      </c>
      <c r="K148" s="4">
        <f>IF(ISNUMBER(J148),J148+I148/10,"")</f>
        <v/>
      </c>
      <c r="L148" s="2" t="inlineStr">
        <is>
          <t>billedmålt</t>
        </is>
      </c>
      <c r="M148" s="2" t="inlineStr">
        <is>
          <t>Which?</t>
        </is>
      </c>
      <c r="N148" s="2" t="inlineStr">
        <is>
          <t>Billedmålt på Which?-foto (lg-oled42c54la): nederste VESA-hul 19,9 cm fra underkant, målt ud fra VESA 300×200 som skala. Usikkerhed ca. ±1 cm.</t>
        </is>
      </c>
    </row>
    <row r="149">
      <c r="A149" s="2" t="inlineStr">
        <is>
          <t>LG</t>
        </is>
      </c>
      <c r="B149" s="2" t="inlineStr">
        <is>
          <t>OLED C5</t>
        </is>
      </c>
      <c r="C149" s="2" t="inlineStr">
        <is>
          <t>OLED C55</t>
        </is>
      </c>
      <c r="D149" s="2" t="inlineStr">
        <is>
          <t>OLED42C55LA</t>
        </is>
      </c>
      <c r="E149" s="3" t="n">
        <v>42</v>
      </c>
      <c r="F149" s="3" t="n">
        <v>2025</v>
      </c>
      <c r="G149" s="4" t="n">
        <v>54</v>
      </c>
      <c r="H149" s="3" t="n">
        <v>300</v>
      </c>
      <c r="I149" s="3" t="n">
        <v>200</v>
      </c>
      <c r="J149" s="4" t="n">
        <v>20.1</v>
      </c>
      <c r="K149" s="4">
        <f>IF(ISNUMBER(J149),J149+I149/10,"")</f>
        <v/>
      </c>
      <c r="L149" s="2" t="inlineStr">
        <is>
          <t>billedmålt</t>
        </is>
      </c>
      <c r="M149" s="2" t="inlineStr">
        <is>
          <t>LG</t>
        </is>
      </c>
      <c r="N149" s="2" t="inlineStr">
        <is>
          <t>Billedmålt på LG-foto: nederste VESA-hul 20,1 cm fra underkant, målt ud fra VESA 300×200 som skala. Usikkerhed ca. ±1 cm.</t>
        </is>
      </c>
    </row>
    <row r="150">
      <c r="A150" s="2" t="inlineStr">
        <is>
          <t>LG</t>
        </is>
      </c>
      <c r="B150" s="2" t="inlineStr">
        <is>
          <t>OLED C6</t>
        </is>
      </c>
      <c r="C150" s="2" t="inlineStr">
        <is>
          <t>OLED C64</t>
        </is>
      </c>
      <c r="D150" s="2" t="inlineStr">
        <is>
          <t>OLED83C64LA</t>
        </is>
      </c>
      <c r="E150" s="3" t="n">
        <v>83</v>
      </c>
      <c r="F150" s="3" t="n">
        <v>2026</v>
      </c>
      <c r="G150" s="4" t="n">
        <v>105.5</v>
      </c>
      <c r="H150" s="3" t="n">
        <v>400</v>
      </c>
      <c r="I150" s="3" t="n">
        <v>400</v>
      </c>
      <c r="J150" s="4" t="n"/>
      <c r="K150" s="4">
        <f>IF(ISNUMBER(J150),J150+I150/10,"")</f>
        <v/>
      </c>
      <c r="L150" s="2" t="inlineStr">
        <is>
          <t>estimat</t>
        </is>
      </c>
      <c r="M150" s="2" t="inlineStr"/>
      <c r="N150" s="2" t="inlineStr"/>
    </row>
    <row r="151">
      <c r="A151" s="2" t="inlineStr">
        <is>
          <t>LG</t>
        </is>
      </c>
      <c r="B151" s="2" t="inlineStr">
        <is>
          <t>OLED C6</t>
        </is>
      </c>
      <c r="C151" s="2" t="inlineStr">
        <is>
          <t>OLED C6</t>
        </is>
      </c>
      <c r="D151" s="2" t="inlineStr">
        <is>
          <t>OLED83C6ELB, OLED83C66LB, OLED83C67LA, OLED83C66, OLED83C69LB</t>
        </is>
      </c>
      <c r="E151" s="3" t="n">
        <v>83</v>
      </c>
      <c r="F151" s="3" t="n">
        <v>2026</v>
      </c>
      <c r="G151" s="4" t="n">
        <v>105.5</v>
      </c>
      <c r="H151" s="3" t="n">
        <v>400</v>
      </c>
      <c r="I151" s="3" t="n">
        <v>400</v>
      </c>
      <c r="J151" s="4" t="n"/>
      <c r="K151" s="4">
        <f>IF(ISNUMBER(J151),J151+I151/10,"")</f>
        <v/>
      </c>
      <c r="L151" s="2" t="inlineStr">
        <is>
          <t>estimat</t>
        </is>
      </c>
      <c r="M151" s="2" t="inlineStr"/>
      <c r="N151" s="2" t="inlineStr"/>
    </row>
    <row r="152">
      <c r="A152" s="2" t="inlineStr">
        <is>
          <t>LG</t>
        </is>
      </c>
      <c r="B152" s="2" t="inlineStr">
        <is>
          <t>OLED C6</t>
        </is>
      </c>
      <c r="C152" s="2" t="inlineStr">
        <is>
          <t>OLED C64</t>
        </is>
      </c>
      <c r="D152" s="2" t="inlineStr">
        <is>
          <t>OLED77C64LA</t>
        </is>
      </c>
      <c r="E152" s="3" t="n">
        <v>77</v>
      </c>
      <c r="F152" s="3" t="n">
        <v>2026</v>
      </c>
      <c r="G152" s="4" t="n">
        <v>98.2</v>
      </c>
      <c r="H152" s="3" t="n">
        <v>300</v>
      </c>
      <c r="I152" s="3" t="n">
        <v>200</v>
      </c>
      <c r="J152" s="4" t="n">
        <v>33.7</v>
      </c>
      <c r="K152" s="4">
        <f>IF(ISNUMBER(J152),J152+I152/10,"")</f>
        <v/>
      </c>
      <c r="L152" s="2" t="inlineStr">
        <is>
          <t>billedmålt</t>
        </is>
      </c>
      <c r="M152" s="2" t="inlineStr">
        <is>
          <t>LG</t>
        </is>
      </c>
      <c r="N152" s="2" t="inlineStr">
        <is>
          <t>Billedmålt på LG-foto: nederste VESA-hul 33,7 cm fra underkant, målt ud fra VESA 300×200 som skala. Usikkerhed ca. ±1 cm.</t>
        </is>
      </c>
    </row>
    <row r="153">
      <c r="A153" s="2" t="inlineStr">
        <is>
          <t>LG</t>
        </is>
      </c>
      <c r="B153" s="2" t="inlineStr">
        <is>
          <t>OLED C6</t>
        </is>
      </c>
      <c r="C153" s="2" t="inlineStr">
        <is>
          <t>OLED C65</t>
        </is>
      </c>
      <c r="D153" s="2" t="inlineStr">
        <is>
          <t>OLED77C65LA</t>
        </is>
      </c>
      <c r="E153" s="3" t="n">
        <v>77</v>
      </c>
      <c r="F153" s="3" t="n">
        <v>2026</v>
      </c>
      <c r="G153" s="4" t="n">
        <v>98.2</v>
      </c>
      <c r="H153" s="3" t="n">
        <v>300</v>
      </c>
      <c r="I153" s="3" t="n">
        <v>200</v>
      </c>
      <c r="J153" s="4" t="n">
        <v>33.6</v>
      </c>
      <c r="K153" s="4">
        <f>IF(ISNUMBER(J153),J153+I153/10,"")</f>
        <v/>
      </c>
      <c r="L153" s="2" t="inlineStr">
        <is>
          <t>samme bagside</t>
        </is>
      </c>
      <c r="M153" s="2" t="inlineStr">
        <is>
          <t>MediaMarkt</t>
        </is>
      </c>
      <c r="N153" s="2" t="inlineStr">
        <is>
          <t>Samme serie, årgang, størrelse og VESA som OLED77C6ELB (33,6 cm). Regional variant med samme bagside.</t>
        </is>
      </c>
    </row>
    <row r="154">
      <c r="A154" s="2" t="inlineStr">
        <is>
          <t>LG</t>
        </is>
      </c>
      <c r="B154" s="2" t="inlineStr">
        <is>
          <t>OLED C6</t>
        </is>
      </c>
      <c r="C154" s="2" t="inlineStr">
        <is>
          <t>OLED C66</t>
        </is>
      </c>
      <c r="D154" s="2" t="inlineStr">
        <is>
          <t>OLED77C66LB</t>
        </is>
      </c>
      <c r="E154" s="3" t="n">
        <v>77</v>
      </c>
      <c r="F154" s="3" t="n">
        <v>2026</v>
      </c>
      <c r="G154" s="4" t="n">
        <v>98.2</v>
      </c>
      <c r="H154" s="3" t="n">
        <v>300</v>
      </c>
      <c r="I154" s="3" t="n">
        <v>200</v>
      </c>
      <c r="J154" s="4" t="n">
        <v>33.6</v>
      </c>
      <c r="K154" s="4">
        <f>IF(ISNUMBER(J154),J154+I154/10,"")</f>
        <v/>
      </c>
      <c r="L154" s="2" t="inlineStr">
        <is>
          <t>samme bagside</t>
        </is>
      </c>
      <c r="M154" s="2" t="inlineStr">
        <is>
          <t>MediaMarkt</t>
        </is>
      </c>
      <c r="N154" s="2" t="inlineStr">
        <is>
          <t>Samme serie, årgang, størrelse og VESA som OLED77C6ELB (33,6 cm). Regional variant med samme bagside.</t>
        </is>
      </c>
    </row>
    <row r="155">
      <c r="A155" s="2" t="inlineStr">
        <is>
          <t>LG</t>
        </is>
      </c>
      <c r="B155" s="2" t="inlineStr">
        <is>
          <t>OLED C6</t>
        </is>
      </c>
      <c r="C155" s="2" t="inlineStr">
        <is>
          <t>OLED C6</t>
        </is>
      </c>
      <c r="D155" s="2" t="inlineStr">
        <is>
          <t>OLED77C6ELB, OLED77C67LA, OLED77C65, OLED77C68LA, OLED77C69LB</t>
        </is>
      </c>
      <c r="E155" s="3" t="n">
        <v>77</v>
      </c>
      <c r="F155" s="3" t="n">
        <v>2026</v>
      </c>
      <c r="G155" s="4" t="n">
        <v>98.2</v>
      </c>
      <c r="H155" s="3" t="n">
        <v>300</v>
      </c>
      <c r="I155" s="3" t="n">
        <v>200</v>
      </c>
      <c r="J155" s="4" t="n">
        <v>33.6</v>
      </c>
      <c r="K155" s="4">
        <f>IF(ISNUMBER(J155),J155+I155/10,"")</f>
        <v/>
      </c>
      <c r="L155" s="2" t="inlineStr">
        <is>
          <t>billedmålt</t>
        </is>
      </c>
      <c r="M155" s="2" t="inlineStr">
        <is>
          <t>MediaMarkt</t>
        </is>
      </c>
      <c r="N155" s="2" t="inlineStr">
        <is>
          <t>Billedmålt på MediaMarkt-foto: nederste VESA-hul 33,6 cm fra underkant, målt ud fra VESA 300×200 som skala. Usikkerhed ca. ±1 cm.</t>
        </is>
      </c>
    </row>
    <row r="156">
      <c r="A156" s="2" t="inlineStr">
        <is>
          <t>LG</t>
        </is>
      </c>
      <c r="B156" s="2" t="inlineStr">
        <is>
          <t>OLED C6</t>
        </is>
      </c>
      <c r="C156" s="2" t="inlineStr">
        <is>
          <t>OLED C64</t>
        </is>
      </c>
      <c r="D156" s="2" t="inlineStr">
        <is>
          <t>OLED65C64LA</t>
        </is>
      </c>
      <c r="E156" s="3" t="n">
        <v>65</v>
      </c>
      <c r="F156" s="3" t="n">
        <v>2026</v>
      </c>
      <c r="G156" s="4" t="n">
        <v>82.59999999999999</v>
      </c>
      <c r="H156" s="3" t="n">
        <v>300</v>
      </c>
      <c r="I156" s="3" t="n">
        <v>200</v>
      </c>
      <c r="J156" s="4" t="n">
        <v>21.9</v>
      </c>
      <c r="K156" s="4">
        <f>IF(ISNUMBER(J156),J156+I156/10,"")</f>
        <v/>
      </c>
      <c r="L156" s="2" t="inlineStr">
        <is>
          <t>billedmålt</t>
        </is>
      </c>
      <c r="M156" s="2" t="inlineStr">
        <is>
          <t>Which?</t>
        </is>
      </c>
      <c r="N156" s="2" t="inlineStr">
        <is>
          <t>Billedmålt på Which?-foto (lg-oled65c64la): nederste VESA-hul 21,9 cm fra underkant, målt ud fra VESA 300×200 som skala. Usikkerhed ca. ±1 cm. Billedkontrol (LG): 21,9 cm.</t>
        </is>
      </c>
    </row>
    <row r="157">
      <c r="A157" s="2" t="inlineStr">
        <is>
          <t>LG</t>
        </is>
      </c>
      <c r="B157" s="2" t="inlineStr">
        <is>
          <t>OLED C6</t>
        </is>
      </c>
      <c r="C157" s="2" t="inlineStr">
        <is>
          <t>OLED C65</t>
        </is>
      </c>
      <c r="D157" s="2" t="inlineStr">
        <is>
          <t>OLED65C65LA</t>
        </is>
      </c>
      <c r="E157" s="3" t="n">
        <v>65</v>
      </c>
      <c r="F157" s="3" t="n">
        <v>2026</v>
      </c>
      <c r="G157" s="4" t="n">
        <v>82.59999999999999</v>
      </c>
      <c r="H157" s="3" t="n">
        <v>300</v>
      </c>
      <c r="I157" s="3" t="n">
        <v>200</v>
      </c>
      <c r="J157" s="4" t="n">
        <v>21.9</v>
      </c>
      <c r="K157" s="4">
        <f>IF(ISNUMBER(J157),J157+I157/10,"")</f>
        <v/>
      </c>
      <c r="L157" s="2" t="inlineStr">
        <is>
          <t>billedmålt</t>
        </is>
      </c>
      <c r="M157" s="2" t="inlineStr">
        <is>
          <t>Which?</t>
        </is>
      </c>
      <c r="N157" s="2" t="inlineStr">
        <is>
          <t>Billedmålt på Which?-foto (lg-oled65c65la): nederste VESA-hul 21,9 cm fra underkant, målt ud fra VESA 300×200 som skala. Usikkerhed ca. ±1 cm.</t>
        </is>
      </c>
    </row>
    <row r="158">
      <c r="A158" s="2" t="inlineStr">
        <is>
          <t>LG</t>
        </is>
      </c>
      <c r="B158" s="2" t="inlineStr">
        <is>
          <t>OLED C6</t>
        </is>
      </c>
      <c r="C158" s="2" t="inlineStr">
        <is>
          <t>OLED C66</t>
        </is>
      </c>
      <c r="D158" s="2" t="inlineStr">
        <is>
          <t>OLED65C66LB</t>
        </is>
      </c>
      <c r="E158" s="3" t="n">
        <v>65</v>
      </c>
      <c r="F158" s="3" t="n">
        <v>2026</v>
      </c>
      <c r="G158" s="4" t="n">
        <v>82.59999999999999</v>
      </c>
      <c r="H158" s="3" t="n">
        <v>300</v>
      </c>
      <c r="I158" s="3" t="n">
        <v>200</v>
      </c>
      <c r="J158" s="4" t="n">
        <v>21.9</v>
      </c>
      <c r="K158" s="4">
        <f>IF(ISNUMBER(J158),J158+I158/10,"")</f>
        <v/>
      </c>
      <c r="L158" s="2" t="inlineStr">
        <is>
          <t>billedmålt</t>
        </is>
      </c>
      <c r="M158" s="2" t="inlineStr">
        <is>
          <t>Which?</t>
        </is>
      </c>
      <c r="N158" s="2" t="inlineStr">
        <is>
          <t>Billedmålt på Which?-foto (lg-oled65c66lb): nederste VESA-hul 21,9 cm fra underkant, målt ud fra VESA 300×200 som skala. Usikkerhed ca. ±1 cm.</t>
        </is>
      </c>
    </row>
    <row r="159">
      <c r="A159" s="2" t="inlineStr">
        <is>
          <t>LG</t>
        </is>
      </c>
      <c r="B159" s="2" t="inlineStr">
        <is>
          <t>OLED C6</t>
        </is>
      </c>
      <c r="C159" s="2" t="inlineStr">
        <is>
          <t>OLED C6</t>
        </is>
      </c>
      <c r="D159" s="2" t="inlineStr">
        <is>
          <t>OLED65C6ELB, OLED65C6V, OLED65C67LA, OLED65C69LB, OLED65C68LA, -OLED65C65LA-NS90001, OLED65C65, OLED65C6D</t>
        </is>
      </c>
      <c r="E159" s="3" t="n">
        <v>65</v>
      </c>
      <c r="F159" s="3" t="n">
        <v>2026</v>
      </c>
      <c r="G159" s="4" t="n">
        <v>82.59999999999999</v>
      </c>
      <c r="H159" s="3" t="n">
        <v>300</v>
      </c>
      <c r="I159" s="3" t="n">
        <v>200</v>
      </c>
      <c r="J159" s="4" t="n">
        <v>21.9</v>
      </c>
      <c r="K159" s="4">
        <f>IF(ISNUMBER(J159),J159+I159/10,"")</f>
        <v/>
      </c>
      <c r="L159" s="2" t="inlineStr">
        <is>
          <t>billedmålt</t>
        </is>
      </c>
      <c r="M159" s="2" t="inlineStr">
        <is>
          <t>Which?</t>
        </is>
      </c>
      <c r="N159" s="2" t="inlineStr">
        <is>
          <t>Billedmålt på Which?-foto (lg-oled65c6elb): nederste VESA-hul 21,9 cm fra underkant, målt ud fra VESA 300×200 som skala. Usikkerhed ca. ±1 cm.</t>
        </is>
      </c>
    </row>
    <row r="160">
      <c r="A160" s="2" t="inlineStr">
        <is>
          <t>LG</t>
        </is>
      </c>
      <c r="B160" s="2" t="inlineStr">
        <is>
          <t>OLED C6</t>
        </is>
      </c>
      <c r="C160" s="2" t="inlineStr">
        <is>
          <t>OLED C64</t>
        </is>
      </c>
      <c r="D160" s="2" t="inlineStr">
        <is>
          <t>OLED55C64LA</t>
        </is>
      </c>
      <c r="E160" s="3" t="n">
        <v>55</v>
      </c>
      <c r="F160" s="3" t="n">
        <v>2026</v>
      </c>
      <c r="G160" s="4" t="n">
        <v>70.3</v>
      </c>
      <c r="H160" s="3" t="n">
        <v>300</v>
      </c>
      <c r="I160" s="3" t="n">
        <v>200</v>
      </c>
      <c r="J160" s="4" t="n">
        <v>21.8</v>
      </c>
      <c r="K160" s="4">
        <f>IF(ISNUMBER(J160),J160+I160/10,"")</f>
        <v/>
      </c>
      <c r="L160" s="2" t="inlineStr">
        <is>
          <t>billedmålt</t>
        </is>
      </c>
      <c r="M160" s="2" t="inlineStr">
        <is>
          <t>Which?</t>
        </is>
      </c>
      <c r="N160" s="2" t="inlineStr">
        <is>
          <t>Billedmålt på Which?-foto (lg-oled55c64la): nederste VESA-hul 21,8 cm fra underkant, målt ud fra VESA 300×200 som skala. Usikkerhed ca. ±1 cm.</t>
        </is>
      </c>
    </row>
    <row r="161">
      <c r="A161" s="2" t="inlineStr">
        <is>
          <t>LG</t>
        </is>
      </c>
      <c r="B161" s="2" t="inlineStr">
        <is>
          <t>OLED C6</t>
        </is>
      </c>
      <c r="C161" s="2" t="inlineStr">
        <is>
          <t>OLED C65</t>
        </is>
      </c>
      <c r="D161" s="2" t="inlineStr">
        <is>
          <t>OLED55C65LA</t>
        </is>
      </c>
      <c r="E161" s="3" t="n">
        <v>55</v>
      </c>
      <c r="F161" s="3" t="n">
        <v>2026</v>
      </c>
      <c r="G161" s="4" t="n">
        <v>70.3</v>
      </c>
      <c r="H161" s="3" t="n">
        <v>300</v>
      </c>
      <c r="I161" s="3" t="n">
        <v>200</v>
      </c>
      <c r="J161" s="4" t="n">
        <v>21.8</v>
      </c>
      <c r="K161" s="4">
        <f>IF(ISNUMBER(J161),J161+I161/10,"")</f>
        <v/>
      </c>
      <c r="L161" s="2" t="inlineStr">
        <is>
          <t>billedmålt</t>
        </is>
      </c>
      <c r="M161" s="2" t="inlineStr">
        <is>
          <t>Which?</t>
        </is>
      </c>
      <c r="N161" s="2" t="inlineStr">
        <is>
          <t>Billedmålt på Which?-foto (lg-oled55c65la): nederste VESA-hul 21,8 cm fra underkant, målt ud fra VESA 300×200 som skala. Usikkerhed ca. ±1 cm.</t>
        </is>
      </c>
    </row>
    <row r="162">
      <c r="A162" s="2" t="inlineStr">
        <is>
          <t>LG</t>
        </is>
      </c>
      <c r="B162" s="2" t="inlineStr">
        <is>
          <t>OLED C6</t>
        </is>
      </c>
      <c r="C162" s="2" t="inlineStr">
        <is>
          <t>OLED C66</t>
        </is>
      </c>
      <c r="D162" s="2" t="inlineStr">
        <is>
          <t>OLED55C66LB</t>
        </is>
      </c>
      <c r="E162" s="3" t="n">
        <v>55</v>
      </c>
      <c r="F162" s="3" t="n">
        <v>2026</v>
      </c>
      <c r="G162" s="4" t="n">
        <v>70.3</v>
      </c>
      <c r="H162" s="3" t="n">
        <v>300</v>
      </c>
      <c r="I162" s="3" t="n">
        <v>200</v>
      </c>
      <c r="J162" s="4" t="n">
        <v>21.8</v>
      </c>
      <c r="K162" s="4">
        <f>IF(ISNUMBER(J162),J162+I162/10,"")</f>
        <v/>
      </c>
      <c r="L162" s="2" t="inlineStr">
        <is>
          <t>billedmålt</t>
        </is>
      </c>
      <c r="M162" s="2" t="inlineStr">
        <is>
          <t>Which?</t>
        </is>
      </c>
      <c r="N162" s="2" t="inlineStr">
        <is>
          <t>Billedmålt på Which?-foto (lg-oled55c66lb): nederste VESA-hul 21,8 cm fra underkant, målt ud fra VESA 300×200 som skala. Usikkerhed ca. ±1 cm.</t>
        </is>
      </c>
    </row>
    <row r="163">
      <c r="A163" s="2" t="inlineStr">
        <is>
          <t>LG</t>
        </is>
      </c>
      <c r="B163" s="2" t="inlineStr">
        <is>
          <t>OLED C6</t>
        </is>
      </c>
      <c r="C163" s="2" t="inlineStr">
        <is>
          <t>OLED C6</t>
        </is>
      </c>
      <c r="D163" s="2" t="inlineStr">
        <is>
          <t>OLED55C6ELB, OLED55C6V, OLED55C67LA, OLED55C68LA, OLED55C69LB, OLED55C65, OLED55C6D</t>
        </is>
      </c>
      <c r="E163" s="3" t="n">
        <v>55</v>
      </c>
      <c r="F163" s="3" t="n">
        <v>2026</v>
      </c>
      <c r="G163" s="4" t="n">
        <v>70.3</v>
      </c>
      <c r="H163" s="3" t="n">
        <v>300</v>
      </c>
      <c r="I163" s="3" t="n">
        <v>200</v>
      </c>
      <c r="J163" s="4" t="n">
        <v>21.8</v>
      </c>
      <c r="K163" s="4">
        <f>IF(ISNUMBER(J163),J163+I163/10,"")</f>
        <v/>
      </c>
      <c r="L163" s="2" t="inlineStr">
        <is>
          <t>billedmålt</t>
        </is>
      </c>
      <c r="M163" s="2" t="inlineStr">
        <is>
          <t>Which?</t>
        </is>
      </c>
      <c r="N163" s="2" t="inlineStr">
        <is>
          <t>Billedmålt på Which?-foto (lg-oled55c6elb): nederste VESA-hul 21,8 cm fra underkant, målt ud fra VESA 300×200 som skala. Usikkerhed ca. ±1 cm.</t>
        </is>
      </c>
    </row>
    <row r="164">
      <c r="A164" s="2" t="inlineStr">
        <is>
          <t>LG</t>
        </is>
      </c>
      <c r="B164" s="2" t="inlineStr">
        <is>
          <t>OLED C6</t>
        </is>
      </c>
      <c r="C164" s="2" t="inlineStr">
        <is>
          <t>OLED C64</t>
        </is>
      </c>
      <c r="D164" s="2" t="inlineStr">
        <is>
          <t>OLED48C64LA</t>
        </is>
      </c>
      <c r="E164" s="3" t="n">
        <v>48</v>
      </c>
      <c r="F164" s="3" t="n">
        <v>2026</v>
      </c>
      <c r="G164" s="4" t="n">
        <v>62</v>
      </c>
      <c r="H164" s="3" t="n">
        <v>300</v>
      </c>
      <c r="I164" s="3" t="n">
        <v>200</v>
      </c>
      <c r="J164" s="4" t="n">
        <v>14.2</v>
      </c>
      <c r="K164" s="4">
        <f>IF(ISNUMBER(J164),J164+I164/10,"")</f>
        <v/>
      </c>
      <c r="L164" s="2" t="inlineStr">
        <is>
          <t>billedmålt</t>
        </is>
      </c>
      <c r="M164" s="2" t="inlineStr">
        <is>
          <t>Which?</t>
        </is>
      </c>
      <c r="N164" s="2" t="inlineStr">
        <is>
          <t>Billedmålt på Which?-foto (lg-oled48c64la): nederste VESA-hul 14,2 cm fra underkant, målt ud fra VESA 300×200 som skala. Usikkerhed ca. ±1 cm.</t>
        </is>
      </c>
    </row>
    <row r="165">
      <c r="A165" s="2" t="inlineStr">
        <is>
          <t>LG</t>
        </is>
      </c>
      <c r="B165" s="2" t="inlineStr">
        <is>
          <t>OLED C6</t>
        </is>
      </c>
      <c r="C165" s="2" t="inlineStr">
        <is>
          <t>OLED C65</t>
        </is>
      </c>
      <c r="D165" s="2" t="inlineStr">
        <is>
          <t>OLED48C65LA</t>
        </is>
      </c>
      <c r="E165" s="3" t="n">
        <v>48</v>
      </c>
      <c r="F165" s="3" t="n">
        <v>2026</v>
      </c>
      <c r="G165" s="4" t="n">
        <v>62</v>
      </c>
      <c r="H165" s="3" t="n">
        <v>300</v>
      </c>
      <c r="I165" s="3" t="n">
        <v>200</v>
      </c>
      <c r="J165" s="4" t="n">
        <v>14.2</v>
      </c>
      <c r="K165" s="4">
        <f>IF(ISNUMBER(J165),J165+I165/10,"")</f>
        <v/>
      </c>
      <c r="L165" s="2" t="inlineStr">
        <is>
          <t>billedmålt</t>
        </is>
      </c>
      <c r="M165" s="2" t="inlineStr">
        <is>
          <t>Which?</t>
        </is>
      </c>
      <c r="N165" s="2" t="inlineStr">
        <is>
          <t>Billedmålt på Which?-foto (lg-oled48c65la): nederste VESA-hul 14,2 cm fra underkant, målt ud fra VESA 300×200 som skala. Usikkerhed ca. ±1 cm.</t>
        </is>
      </c>
    </row>
    <row r="166">
      <c r="A166" s="2" t="inlineStr">
        <is>
          <t>LG</t>
        </is>
      </c>
      <c r="B166" s="2" t="inlineStr">
        <is>
          <t>OLED C6</t>
        </is>
      </c>
      <c r="C166" s="2" t="inlineStr">
        <is>
          <t>OLED C66</t>
        </is>
      </c>
      <c r="D166" s="2" t="inlineStr">
        <is>
          <t>OLED48C66LB</t>
        </is>
      </c>
      <c r="E166" s="3" t="n">
        <v>48</v>
      </c>
      <c r="F166" s="3" t="n">
        <v>2026</v>
      </c>
      <c r="G166" s="4" t="n">
        <v>62</v>
      </c>
      <c r="H166" s="3" t="n">
        <v>300</v>
      </c>
      <c r="I166" s="3" t="n">
        <v>200</v>
      </c>
      <c r="J166" s="4" t="n">
        <v>14.2</v>
      </c>
      <c r="K166" s="4">
        <f>IF(ISNUMBER(J166),J166+I166/10,"")</f>
        <v/>
      </c>
      <c r="L166" s="2" t="inlineStr">
        <is>
          <t>billedmålt</t>
        </is>
      </c>
      <c r="M166" s="2" t="inlineStr">
        <is>
          <t>Which?</t>
        </is>
      </c>
      <c r="N166" s="2" t="inlineStr">
        <is>
          <t>Billedmålt på Which?-foto (lg-oled48c66lb): nederste VESA-hul 14,2 cm fra underkant, målt ud fra VESA 300×200 som skala. Usikkerhed ca. ±1 cm.</t>
        </is>
      </c>
    </row>
    <row r="167">
      <c r="A167" s="2" t="inlineStr">
        <is>
          <t>LG</t>
        </is>
      </c>
      <c r="B167" s="2" t="inlineStr">
        <is>
          <t>OLED C6</t>
        </is>
      </c>
      <c r="C167" s="2" t="inlineStr">
        <is>
          <t>OLED C6</t>
        </is>
      </c>
      <c r="D167" s="2" t="inlineStr">
        <is>
          <t>OLED48C6ELB, OLED48C68LA, OLED48C69LB, OLED48C67LA</t>
        </is>
      </c>
      <c r="E167" s="3" t="n">
        <v>48</v>
      </c>
      <c r="F167" s="3" t="n">
        <v>2026</v>
      </c>
      <c r="G167" s="4" t="n">
        <v>62</v>
      </c>
      <c r="H167" s="3" t="n">
        <v>300</v>
      </c>
      <c r="I167" s="3" t="n">
        <v>200</v>
      </c>
      <c r="J167" s="4" t="n">
        <v>14.2</v>
      </c>
      <c r="K167" s="4">
        <f>IF(ISNUMBER(J167),J167+I167/10,"")</f>
        <v/>
      </c>
      <c r="L167" s="2" t="inlineStr">
        <is>
          <t>billedmålt</t>
        </is>
      </c>
      <c r="M167" s="2" t="inlineStr">
        <is>
          <t>Which?</t>
        </is>
      </c>
      <c r="N167" s="2" t="inlineStr">
        <is>
          <t>Billedmålt på Which?-foto (lg-oled48c6elb): nederste VESA-hul 14,2 cm fra underkant, målt ud fra VESA 300×200 som skala. Usikkerhed ca. ±1 cm.</t>
        </is>
      </c>
    </row>
    <row r="168">
      <c r="A168" s="2" t="inlineStr">
        <is>
          <t>LG</t>
        </is>
      </c>
      <c r="B168" s="2" t="inlineStr">
        <is>
          <t>OLED C6</t>
        </is>
      </c>
      <c r="C168" s="2" t="inlineStr">
        <is>
          <t>OLED C64</t>
        </is>
      </c>
      <c r="D168" s="2" t="inlineStr">
        <is>
          <t>OLED42C64LA</t>
        </is>
      </c>
      <c r="E168" s="3" t="n">
        <v>42</v>
      </c>
      <c r="F168" s="3" t="n">
        <v>2026</v>
      </c>
      <c r="G168" s="4" t="n">
        <v>54</v>
      </c>
      <c r="H168" s="3" t="n">
        <v>300</v>
      </c>
      <c r="I168" s="3" t="n">
        <v>200</v>
      </c>
      <c r="J168" s="4" t="n">
        <v>19.9</v>
      </c>
      <c r="K168" s="4">
        <f>IF(ISNUMBER(J168),J168+I168/10,"")</f>
        <v/>
      </c>
      <c r="L168" s="2" t="inlineStr">
        <is>
          <t>billedmålt</t>
        </is>
      </c>
      <c r="M168" s="2" t="inlineStr">
        <is>
          <t>Which?</t>
        </is>
      </c>
      <c r="N168" s="2" t="inlineStr">
        <is>
          <t>Billedmålt på Which?-foto (lg-oled42c64la): nederste VESA-hul 19,9 cm fra underkant, målt ud fra VESA 300×200 som skala. Usikkerhed ca. ±1 cm.</t>
        </is>
      </c>
    </row>
    <row r="169">
      <c r="A169" s="2" t="inlineStr">
        <is>
          <t>LG</t>
        </is>
      </c>
      <c r="B169" s="2" t="inlineStr">
        <is>
          <t>OLED C6</t>
        </is>
      </c>
      <c r="C169" s="2" t="inlineStr">
        <is>
          <t>OLED C65</t>
        </is>
      </c>
      <c r="D169" s="2" t="inlineStr">
        <is>
          <t>OLED42C65LA</t>
        </is>
      </c>
      <c r="E169" s="3" t="n">
        <v>42</v>
      </c>
      <c r="F169" s="3" t="n">
        <v>2026</v>
      </c>
      <c r="G169" s="4" t="n">
        <v>54</v>
      </c>
      <c r="H169" s="3" t="n">
        <v>300</v>
      </c>
      <c r="I169" s="3" t="n">
        <v>200</v>
      </c>
      <c r="J169" s="4" t="n">
        <v>20</v>
      </c>
      <c r="K169" s="4">
        <f>IF(ISNUMBER(J169),J169+I169/10,"")</f>
        <v/>
      </c>
      <c r="L169" s="2" t="inlineStr">
        <is>
          <t>billedmålt</t>
        </is>
      </c>
      <c r="M169" s="2" t="inlineStr">
        <is>
          <t>Which?</t>
        </is>
      </c>
      <c r="N169" s="2" t="inlineStr">
        <is>
          <t>Billedmålt på Which?-foto (lg-oled42c65la): nederste VESA-hul 20 cm fra underkant, målt ud fra VESA 300×200 som skala. Usikkerhed ca. ±1 cm.</t>
        </is>
      </c>
    </row>
    <row r="170">
      <c r="A170" s="2" t="inlineStr">
        <is>
          <t>LG</t>
        </is>
      </c>
      <c r="B170" s="2" t="inlineStr">
        <is>
          <t>OLED C6</t>
        </is>
      </c>
      <c r="C170" s="2" t="inlineStr">
        <is>
          <t>OLED C66</t>
        </is>
      </c>
      <c r="D170" s="2" t="inlineStr">
        <is>
          <t>OLED42C66LB</t>
        </is>
      </c>
      <c r="E170" s="3" t="n">
        <v>42</v>
      </c>
      <c r="F170" s="3" t="n">
        <v>2026</v>
      </c>
      <c r="G170" s="4" t="n">
        <v>54</v>
      </c>
      <c r="H170" s="3" t="n">
        <v>300</v>
      </c>
      <c r="I170" s="3" t="n">
        <v>200</v>
      </c>
      <c r="J170" s="4" t="n">
        <v>20</v>
      </c>
      <c r="K170" s="4">
        <f>IF(ISNUMBER(J170),J170+I170/10,"")</f>
        <v/>
      </c>
      <c r="L170" s="2" t="inlineStr">
        <is>
          <t>billedmålt</t>
        </is>
      </c>
      <c r="M170" s="2" t="inlineStr">
        <is>
          <t>Which?</t>
        </is>
      </c>
      <c r="N170" s="2" t="inlineStr">
        <is>
          <t>Billedmålt på Which?-foto (lg-oled42c66lb): nederste VESA-hul 20 cm fra underkant, målt ud fra VESA 300×200 som skala. Usikkerhed ca. ±1 cm.</t>
        </is>
      </c>
    </row>
    <row r="171">
      <c r="A171" s="2" t="inlineStr">
        <is>
          <t>LG</t>
        </is>
      </c>
      <c r="B171" s="2" t="inlineStr">
        <is>
          <t>OLED C6</t>
        </is>
      </c>
      <c r="C171" s="2" t="inlineStr">
        <is>
          <t>OLED C6</t>
        </is>
      </c>
      <c r="D171" s="2" t="inlineStr">
        <is>
          <t>OLED42C6ELB, OLED42C68LA, OLED42C67LA, OLED42C69LB</t>
        </is>
      </c>
      <c r="E171" s="3" t="n">
        <v>42</v>
      </c>
      <c r="F171" s="3" t="n">
        <v>2026</v>
      </c>
      <c r="G171" s="4" t="n">
        <v>54</v>
      </c>
      <c r="H171" s="3" t="n">
        <v>300</v>
      </c>
      <c r="I171" s="3" t="n">
        <v>200</v>
      </c>
      <c r="J171" s="4" t="n">
        <v>20</v>
      </c>
      <c r="K171" s="4">
        <f>IF(ISNUMBER(J171),J171+I171/10,"")</f>
        <v/>
      </c>
      <c r="L171" s="2" t="inlineStr">
        <is>
          <t>billedmålt</t>
        </is>
      </c>
      <c r="M171" s="2" t="inlineStr">
        <is>
          <t>Which?</t>
        </is>
      </c>
      <c r="N171" s="2" t="inlineStr">
        <is>
          <t>Billedmålt på Which?-foto (lg-oled42c6elb): nederste VESA-hul 20 cm fra underkant, målt ud fra VESA 300×200 som skala. Usikkerhed ca. ±1 cm. Billedkontrol (LG): 20,1 cm.</t>
        </is>
      </c>
    </row>
    <row r="172">
      <c r="A172" s="2" t="inlineStr">
        <is>
          <t>LG</t>
        </is>
      </c>
      <c r="B172" s="2" t="inlineStr">
        <is>
          <t>OLED C9</t>
        </is>
      </c>
      <c r="C172" s="2" t="inlineStr">
        <is>
          <t>OLED C9 (2019)</t>
        </is>
      </c>
      <c r="D172" s="2" t="inlineStr">
        <is>
          <t>OLED55C9PLA, OLED55C9, OLED55C9MLB, OLED55C97LA, OLED55C98LB</t>
        </is>
      </c>
      <c r="E172" s="3" t="n">
        <v>55</v>
      </c>
      <c r="F172" s="3" t="n">
        <v>2019</v>
      </c>
      <c r="G172" s="4" t="n">
        <v>71</v>
      </c>
      <c r="H172" s="3" t="n">
        <v>300</v>
      </c>
      <c r="I172" s="3" t="n">
        <v>200</v>
      </c>
      <c r="J172" s="4" t="n">
        <v>13</v>
      </c>
      <c r="K172" s="4">
        <f>IF(ISNUMBER(J172),J172+I172/10,"")</f>
        <v/>
      </c>
      <c r="L172" s="2" t="inlineStr">
        <is>
          <t>kundemålt</t>
        </is>
      </c>
      <c r="M172" s="2" t="inlineStr"/>
      <c r="N172" s="2" t="inlineStr">
        <is>
          <t>Kundemålt, to sager: 31/7 og 7/9-2026 (huller 13 og 33 cm fra underkant).</t>
        </is>
      </c>
    </row>
    <row r="173">
      <c r="A173" s="2" t="inlineStr">
        <is>
          <t>LG</t>
        </is>
      </c>
      <c r="B173" s="2" t="inlineStr">
        <is>
          <t>OLED CX</t>
        </is>
      </c>
      <c r="C173" s="2" t="inlineStr">
        <is>
          <t>OLED CX</t>
        </is>
      </c>
      <c r="D173" s="2" t="inlineStr">
        <is>
          <t>OLED55CX5LB, OLED55CX6LA</t>
        </is>
      </c>
      <c r="E173" s="3" t="n">
        <v>55</v>
      </c>
      <c r="F173" s="3" t="n">
        <v>2020</v>
      </c>
      <c r="G173" s="4" t="n">
        <v>70.8</v>
      </c>
      <c r="H173" s="3" t="n">
        <v>300</v>
      </c>
      <c r="I173" s="3" t="n">
        <v>200</v>
      </c>
      <c r="J173" s="4" t="n"/>
      <c r="K173" s="4">
        <f>IF(ISNUMBER(J173),J173+I173/10,"")</f>
        <v/>
      </c>
      <c r="L173" s="2" t="inlineStr">
        <is>
          <t>estimat</t>
        </is>
      </c>
      <c r="M173" s="2" t="inlineStr"/>
      <c r="N173" s="2" t="inlineStr"/>
    </row>
    <row r="174">
      <c r="A174" s="2" t="inlineStr">
        <is>
          <t>LG</t>
        </is>
      </c>
      <c r="B174" s="2" t="inlineStr">
        <is>
          <t>OLED E6</t>
        </is>
      </c>
      <c r="C174" s="2" t="inlineStr">
        <is>
          <t>OLED E6 (2026)</t>
        </is>
      </c>
      <c r="D174" s="2" t="inlineStr">
        <is>
          <t>OLED65E6V, OLED65E6D</t>
        </is>
      </c>
      <c r="E174" s="3" t="n">
        <v>65</v>
      </c>
      <c r="F174" s="3" t="n">
        <v>2026</v>
      </c>
      <c r="G174" s="4" t="n">
        <v>89.3</v>
      </c>
      <c r="H174" s="3" t="n">
        <v>400</v>
      </c>
      <c r="I174" s="3" t="n">
        <v>200</v>
      </c>
      <c r="J174" s="4" t="n"/>
      <c r="K174" s="4">
        <f>IF(ISNUMBER(J174),J174+I174/10,"")</f>
        <v/>
      </c>
      <c r="L174" s="2" t="inlineStr">
        <is>
          <t>estimat</t>
        </is>
      </c>
      <c r="M174" s="2" t="inlineStr"/>
      <c r="N174" s="2" t="inlineStr"/>
    </row>
    <row r="175">
      <c r="A175" s="2" t="inlineStr">
        <is>
          <t>LG</t>
        </is>
      </c>
      <c r="B175" s="2" t="inlineStr">
        <is>
          <t>OLED G2</t>
        </is>
      </c>
      <c r="C175" s="2" t="inlineStr">
        <is>
          <t>OLED G26</t>
        </is>
      </c>
      <c r="D175" s="2" t="inlineStr">
        <is>
          <t>OLED83G26LA, OLED83G29LA</t>
        </is>
      </c>
      <c r="E175" s="3" t="n">
        <v>83</v>
      </c>
      <c r="F175" s="3" t="n">
        <v>2022</v>
      </c>
      <c r="G175" s="4" t="n">
        <v>105.2</v>
      </c>
      <c r="H175" s="3" t="n">
        <v>400</v>
      </c>
      <c r="I175" s="3" t="n">
        <v>400</v>
      </c>
      <c r="J175" s="4" t="n"/>
      <c r="K175" s="4">
        <f>IF(ISNUMBER(J175),J175+I175/10,"")</f>
        <v/>
      </c>
      <c r="L175" s="2" t="inlineStr">
        <is>
          <t>estimat</t>
        </is>
      </c>
      <c r="M175" s="2" t="inlineStr"/>
      <c r="N175" s="2" t="inlineStr"/>
    </row>
    <row r="176">
      <c r="A176" s="2" t="inlineStr">
        <is>
          <t>LG</t>
        </is>
      </c>
      <c r="B176" s="2" t="inlineStr">
        <is>
          <t>OLED G2</t>
        </is>
      </c>
      <c r="C176" s="2" t="inlineStr">
        <is>
          <t>OLED G26</t>
        </is>
      </c>
      <c r="D176" s="2" t="inlineStr">
        <is>
          <t>OLED77G26LA, OLED77G29LA</t>
        </is>
      </c>
      <c r="E176" s="3" t="n">
        <v>77</v>
      </c>
      <c r="F176" s="3" t="n">
        <v>2022</v>
      </c>
      <c r="G176" s="4" t="n">
        <v>97.59999999999999</v>
      </c>
      <c r="H176" s="3" t="n">
        <v>300</v>
      </c>
      <c r="I176" s="3" t="n">
        <v>300</v>
      </c>
      <c r="J176" s="4" t="n">
        <v>26.3</v>
      </c>
      <c r="K176" s="4">
        <f>IF(ISNUMBER(J176),J176+I176/10,"")</f>
        <v/>
      </c>
      <c r="L176" s="2" t="inlineStr">
        <is>
          <t>billedmålt</t>
        </is>
      </c>
      <c r="M176" s="2" t="inlineStr">
        <is>
          <t>LG</t>
        </is>
      </c>
      <c r="N176" s="2" t="inlineStr">
        <is>
          <t>Billedmålt på LG-foto: nederste VESA-hul 26,3 cm fra underkant, målt ud fra VESA 300×300 som skala. Usikkerhed ca. ±1 cm.</t>
        </is>
      </c>
    </row>
    <row r="177">
      <c r="A177" s="2" t="inlineStr">
        <is>
          <t>LG</t>
        </is>
      </c>
      <c r="B177" s="2" t="inlineStr">
        <is>
          <t>OLED G2</t>
        </is>
      </c>
      <c r="C177" s="2" t="inlineStr">
        <is>
          <t>OLED G26</t>
        </is>
      </c>
      <c r="D177" s="2" t="inlineStr">
        <is>
          <t>OLED65G26LA, OLED65G29LA, OLED65G23LA, OLED65G26OU</t>
        </is>
      </c>
      <c r="E177" s="3" t="n">
        <v>65</v>
      </c>
      <c r="F177" s="3" t="n">
        <v>2022</v>
      </c>
      <c r="G177" s="4" t="n">
        <v>82.09999999999999</v>
      </c>
      <c r="H177" s="3" t="n">
        <v>300</v>
      </c>
      <c r="I177" s="3" t="n">
        <v>300</v>
      </c>
      <c r="J177" s="4" t="n">
        <v>21.3</v>
      </c>
      <c r="K177" s="4">
        <f>IF(ISNUMBER(J177),J177+I177/10,"")</f>
        <v/>
      </c>
      <c r="L177" s="2" t="inlineStr">
        <is>
          <t>billedmålt</t>
        </is>
      </c>
      <c r="M177" s="2" t="inlineStr">
        <is>
          <t>LG</t>
        </is>
      </c>
      <c r="N177" s="2" t="inlineStr">
        <is>
          <t>Billedmålt på LG-foto: nederste VESA-hul 21,3 cm fra underkant, målt ud fra VESA 300×300 som skala. Usikkerhed ca. ±1 cm.</t>
        </is>
      </c>
    </row>
    <row r="178">
      <c r="A178" s="2" t="inlineStr">
        <is>
          <t>LG</t>
        </is>
      </c>
      <c r="B178" s="2" t="inlineStr">
        <is>
          <t>OLED G2</t>
        </is>
      </c>
      <c r="C178" s="2" t="inlineStr">
        <is>
          <t>OLED G26</t>
        </is>
      </c>
      <c r="D178" s="2" t="inlineStr">
        <is>
          <t>OLED55G26LA, OLED55G29LA, OLED55G23LA</t>
        </is>
      </c>
      <c r="E178" s="3" t="n">
        <v>55</v>
      </c>
      <c r="F178" s="3" t="n">
        <v>2022</v>
      </c>
      <c r="G178" s="4" t="n">
        <v>69.8</v>
      </c>
      <c r="H178" s="3" t="n">
        <v>300</v>
      </c>
      <c r="I178" s="3" t="n">
        <v>200</v>
      </c>
      <c r="J178" s="4" t="n">
        <v>12.2</v>
      </c>
      <c r="K178" s="4">
        <f>IF(ISNUMBER(J178),J178+I178/10,"")</f>
        <v/>
      </c>
      <c r="L178" s="2" t="inlineStr">
        <is>
          <t>billedmålt</t>
        </is>
      </c>
      <c r="M178" s="2" t="inlineStr">
        <is>
          <t>LG</t>
        </is>
      </c>
      <c r="N178" s="2" t="inlineStr">
        <is>
          <t>Billedmålt på LG-foto: nederste VESA-hul 12,2 cm fra underkant, målt ud fra VESA 300×200 som skala. Usikkerhed ca. ±1 cm.</t>
        </is>
      </c>
    </row>
    <row r="179">
      <c r="A179" s="2" t="inlineStr">
        <is>
          <t>LG</t>
        </is>
      </c>
      <c r="B179" s="2" t="inlineStr">
        <is>
          <t>OLED G3</t>
        </is>
      </c>
      <c r="C179" s="2" t="inlineStr">
        <is>
          <t>OLED G36</t>
        </is>
      </c>
      <c r="D179" s="2" t="inlineStr">
        <is>
          <t>OLED83G36LA, OLED83G39LA</t>
        </is>
      </c>
      <c r="E179" s="3" t="n">
        <v>83</v>
      </c>
      <c r="F179" s="3" t="n">
        <v>2023</v>
      </c>
      <c r="G179" s="4" t="n">
        <v>105.7</v>
      </c>
      <c r="H179" s="3" t="n">
        <v>400</v>
      </c>
      <c r="I179" s="3" t="n">
        <v>400</v>
      </c>
      <c r="J179" s="4" t="n">
        <v>26.5</v>
      </c>
      <c r="K179" s="4">
        <f>IF(ISNUMBER(J179),J179+I179/10,"")</f>
        <v/>
      </c>
      <c r="L179" s="2" t="inlineStr">
        <is>
          <t>producentens mål</t>
        </is>
      </c>
      <c r="M179" s="2" t="inlineStr">
        <is>
          <t>LG-tegning 2023</t>
        </is>
      </c>
      <c r="N179" s="2" t="inlineStr">
        <is>
          <t>Hulplacering fra LG's officielle bagside-tegning 2023 (OLEDG3 83″, X1 = 265 mm). Højde og VESA fra LG's side.</t>
        </is>
      </c>
    </row>
    <row r="180">
      <c r="A180" s="2" t="inlineStr">
        <is>
          <t>LG</t>
        </is>
      </c>
      <c r="B180" s="2" t="inlineStr">
        <is>
          <t>OLED G3</t>
        </is>
      </c>
      <c r="C180" s="2" t="inlineStr">
        <is>
          <t>OLED G36</t>
        </is>
      </c>
      <c r="D180" s="2" t="inlineStr">
        <is>
          <t>OLED77G36LA, OLED77G39LA</t>
        </is>
      </c>
      <c r="E180" s="3" t="n">
        <v>77</v>
      </c>
      <c r="F180" s="3" t="n">
        <v>2023</v>
      </c>
      <c r="G180" s="4" t="n">
        <v>98.2</v>
      </c>
      <c r="H180" s="3" t="n">
        <v>300</v>
      </c>
      <c r="I180" s="3" t="n">
        <v>300</v>
      </c>
      <c r="J180" s="4" t="n">
        <v>26.5</v>
      </c>
      <c r="K180" s="4">
        <f>IF(ISNUMBER(J180),J180+I180/10,"")</f>
        <v/>
      </c>
      <c r="L180" s="2" t="inlineStr">
        <is>
          <t>producentens mål</t>
        </is>
      </c>
      <c r="M180" s="2" t="inlineStr">
        <is>
          <t>LG-tegning 2023</t>
        </is>
      </c>
      <c r="N180" s="2" t="inlineStr">
        <is>
          <t>Hulplacering fra LG's officielle bagside-tegning 2023 (OLEDG3 77″, X1 = 265 mm). Højde og VESA fra LG's side. Billedkontrol (Icecat): 26,5 cm. Billedkontrol (LG): 26,5 cm.</t>
        </is>
      </c>
    </row>
    <row r="181">
      <c r="A181" s="2" t="inlineStr">
        <is>
          <t>LG</t>
        </is>
      </c>
      <c r="B181" s="2" t="inlineStr">
        <is>
          <t>OLED G3</t>
        </is>
      </c>
      <c r="C181" s="2" t="inlineStr">
        <is>
          <t>OLED G36</t>
        </is>
      </c>
      <c r="D181" s="2" t="inlineStr">
        <is>
          <t>OLED65G36LA, OLED65G39LA, OLED65G3SN5</t>
        </is>
      </c>
      <c r="E181" s="3" t="n">
        <v>65</v>
      </c>
      <c r="F181" s="3" t="n">
        <v>2023</v>
      </c>
      <c r="G181" s="4" t="n">
        <v>82.59999999999999</v>
      </c>
      <c r="H181" s="3" t="n">
        <v>300</v>
      </c>
      <c r="I181" s="3" t="n">
        <v>300</v>
      </c>
      <c r="J181" s="4" t="n">
        <v>21.4</v>
      </c>
      <c r="K181" s="4">
        <f>IF(ISNUMBER(J181),J181+I181/10,"")</f>
        <v/>
      </c>
      <c r="L181" s="2" t="inlineStr">
        <is>
          <t>producentens mål</t>
        </is>
      </c>
      <c r="M181" s="2" t="inlineStr">
        <is>
          <t>LG-tegning 2023</t>
        </is>
      </c>
      <c r="N181" s="2" t="inlineStr">
        <is>
          <t>Hulplacering fra LG's officielle bagside-tegning 2023 (OLEDG3 65″, X1 = 214 mm). Højde og VESA fra LG's side. Billedkontrol (Icecat): 21,3 cm. Billedkontrol (LG): 21,3 cm.</t>
        </is>
      </c>
    </row>
    <row r="182">
      <c r="A182" s="2" t="inlineStr">
        <is>
          <t>LG</t>
        </is>
      </c>
      <c r="B182" s="2" t="inlineStr">
        <is>
          <t>OLED G3</t>
        </is>
      </c>
      <c r="C182" s="2" t="inlineStr">
        <is>
          <t>OLED G36</t>
        </is>
      </c>
      <c r="D182" s="2" t="inlineStr">
        <is>
          <t>OLED55G36LA, OLED55G39LA, OLED55G3SN5</t>
        </is>
      </c>
      <c r="E182" s="3" t="n">
        <v>55</v>
      </c>
      <c r="F182" s="3" t="n">
        <v>2023</v>
      </c>
      <c r="G182" s="4" t="n">
        <v>70.3</v>
      </c>
      <c r="H182" s="3" t="n">
        <v>300</v>
      </c>
      <c r="I182" s="3" t="n">
        <v>200</v>
      </c>
      <c r="J182" s="4" t="n">
        <v>12.2</v>
      </c>
      <c r="K182" s="4">
        <f>IF(ISNUMBER(J182),J182+I182/10,"")</f>
        <v/>
      </c>
      <c r="L182" s="2" t="inlineStr">
        <is>
          <t>producentens mål</t>
        </is>
      </c>
      <c r="M182" s="2" t="inlineStr">
        <is>
          <t>LG-tegning 2023</t>
        </is>
      </c>
      <c r="N182" s="2" t="inlineStr">
        <is>
          <t>Hulplacering fra LG's officielle bagside-tegning 2023 (OLEDG3 55″, X1 = 122 mm). Højde og VESA fra LG's side. Billedkontrol (LG): 12,2 cm.</t>
        </is>
      </c>
    </row>
    <row r="183">
      <c r="A183" s="2" t="inlineStr">
        <is>
          <t>LG</t>
        </is>
      </c>
      <c r="B183" s="2" t="inlineStr">
        <is>
          <t>OLED G4</t>
        </is>
      </c>
      <c r="C183" s="2" t="inlineStr">
        <is>
          <t>OLED G45</t>
        </is>
      </c>
      <c r="D183" s="2" t="inlineStr">
        <is>
          <t>OLED97G45LW</t>
        </is>
      </c>
      <c r="E183" s="3" t="n">
        <v>97</v>
      </c>
      <c r="F183" s="3" t="n">
        <v>2024</v>
      </c>
      <c r="G183" s="4" t="n">
        <v>123</v>
      </c>
      <c r="H183" s="3" t="n">
        <v>600</v>
      </c>
      <c r="I183" s="3" t="n">
        <v>400</v>
      </c>
      <c r="J183" s="4" t="n">
        <v>29.8</v>
      </c>
      <c r="K183" s="4">
        <f>IF(ISNUMBER(J183),J183+I183/10,"")</f>
        <v/>
      </c>
      <c r="L183" s="2" t="inlineStr">
        <is>
          <t>billedmålt</t>
        </is>
      </c>
      <c r="M183" s="2" t="inlineStr">
        <is>
          <t>MediaMarkt</t>
        </is>
      </c>
      <c r="N183" s="2" t="inlineStr">
        <is>
          <t>Billedmålt på MediaMarkt-foto: nederste VESA-hul 29,8 cm fra underkant, målt ud fra VESA 600×400 som skala. Usikkerhed ca. ±1 cm. Billedkontrol (LG): 29,8 cm.</t>
        </is>
      </c>
    </row>
    <row r="184">
      <c r="A184" s="2" t="inlineStr">
        <is>
          <t>LG</t>
        </is>
      </c>
      <c r="B184" s="2" t="inlineStr">
        <is>
          <t>OLED G4</t>
        </is>
      </c>
      <c r="C184" s="2" t="inlineStr">
        <is>
          <t>OLED G45</t>
        </is>
      </c>
      <c r="D184" s="2" t="inlineStr">
        <is>
          <t>OLED83G45LW, OLED83G48LW</t>
        </is>
      </c>
      <c r="E184" s="3" t="n">
        <v>83</v>
      </c>
      <c r="F184" s="3" t="n">
        <v>2024</v>
      </c>
      <c r="G184" s="4" t="n">
        <v>105.7</v>
      </c>
      <c r="H184" s="3" t="n">
        <v>400</v>
      </c>
      <c r="I184" s="3" t="n">
        <v>400</v>
      </c>
      <c r="J184" s="4" t="n"/>
      <c r="K184" s="4">
        <f>IF(ISNUMBER(J184),J184+I184/10,"")</f>
        <v/>
      </c>
      <c r="L184" s="2" t="inlineStr">
        <is>
          <t>estimat</t>
        </is>
      </c>
      <c r="M184" s="2" t="inlineStr"/>
      <c r="N184" s="2" t="inlineStr"/>
    </row>
    <row r="185">
      <c r="A185" s="2" t="inlineStr">
        <is>
          <t>LG</t>
        </is>
      </c>
      <c r="B185" s="2" t="inlineStr">
        <is>
          <t>OLED G4</t>
        </is>
      </c>
      <c r="C185" s="2" t="inlineStr">
        <is>
          <t>OLED G45</t>
        </is>
      </c>
      <c r="D185" s="2" t="inlineStr">
        <is>
          <t>OLED77G45LW, OLED77G48LW</t>
        </is>
      </c>
      <c r="E185" s="3" t="n">
        <v>77</v>
      </c>
      <c r="F185" s="3" t="n">
        <v>2024</v>
      </c>
      <c r="G185" s="4" t="n">
        <v>98.2</v>
      </c>
      <c r="H185" s="3" t="n">
        <v>300</v>
      </c>
      <c r="I185" s="3" t="n">
        <v>300</v>
      </c>
      <c r="J185" s="4" t="n">
        <v>26.4</v>
      </c>
      <c r="K185" s="4">
        <f>IF(ISNUMBER(J185),J185+I185/10,"")</f>
        <v/>
      </c>
      <c r="L185" s="2" t="inlineStr">
        <is>
          <t>billedmålt</t>
        </is>
      </c>
      <c r="M185" s="2" t="inlineStr">
        <is>
          <t>MediaMarkt</t>
        </is>
      </c>
      <c r="N185" s="2" t="inlineStr">
        <is>
          <t>Billedmålt på MediaMarkt-foto: nederste VESA-hul 26,4 cm fra underkant, målt ud fra VESA 300×300 som skala. Usikkerhed ca. ±1 cm. Billedkontrol (LG): 26,4 cm.</t>
        </is>
      </c>
    </row>
    <row r="186">
      <c r="A186" s="2" t="inlineStr">
        <is>
          <t>LG</t>
        </is>
      </c>
      <c r="B186" s="2" t="inlineStr">
        <is>
          <t>OLED G4</t>
        </is>
      </c>
      <c r="C186" s="2" t="inlineStr">
        <is>
          <t>OLED G45</t>
        </is>
      </c>
      <c r="D186" s="2" t="inlineStr">
        <is>
          <t>OLED65G45LW, OLED65G49LS, OLED65G48LW</t>
        </is>
      </c>
      <c r="E186" s="3" t="n">
        <v>65</v>
      </c>
      <c r="F186" s="3" t="n">
        <v>2024</v>
      </c>
      <c r="G186" s="4" t="n">
        <v>82.59999999999999</v>
      </c>
      <c r="H186" s="3" t="n">
        <v>300</v>
      </c>
      <c r="I186" s="3" t="n">
        <v>300</v>
      </c>
      <c r="J186" s="4" t="n">
        <v>21.4</v>
      </c>
      <c r="K186" s="4">
        <f>IF(ISNUMBER(J186),J186+I186/10,"")</f>
        <v/>
      </c>
      <c r="L186" s="2" t="inlineStr">
        <is>
          <t>billedmålt</t>
        </is>
      </c>
      <c r="M186" s="2" t="inlineStr">
        <is>
          <t>MediaMarkt</t>
        </is>
      </c>
      <c r="N186" s="2" t="inlineStr">
        <is>
          <t>Billedmålt på MediaMarkt-foto: nederste VESA-hul 21,4 cm fra underkant, målt ud fra VESA 300×300 som skala. Usikkerhed ca. ±1 cm. Billedkontrol (LG): 21,3 cm.</t>
        </is>
      </c>
    </row>
    <row r="187">
      <c r="A187" s="2" t="inlineStr">
        <is>
          <t>LG</t>
        </is>
      </c>
      <c r="B187" s="2" t="inlineStr">
        <is>
          <t>OLED G4</t>
        </is>
      </c>
      <c r="C187" s="2" t="inlineStr">
        <is>
          <t>OLED G46</t>
        </is>
      </c>
      <c r="D187" s="2" t="inlineStr">
        <is>
          <t>OLED65G46LS</t>
        </is>
      </c>
      <c r="E187" s="3" t="n">
        <v>65</v>
      </c>
      <c r="F187" s="3" t="n">
        <v>2024</v>
      </c>
      <c r="G187" s="4" t="n">
        <v>82.59999999999999</v>
      </c>
      <c r="H187" s="3" t="n">
        <v>300</v>
      </c>
      <c r="I187" s="3" t="n">
        <v>300</v>
      </c>
      <c r="J187" s="4" t="n">
        <v>21.4</v>
      </c>
      <c r="K187" s="4">
        <f>IF(ISNUMBER(J187),J187+I187/10,"")</f>
        <v/>
      </c>
      <c r="L187" s="2" t="inlineStr">
        <is>
          <t>samme bagside</t>
        </is>
      </c>
      <c r="M187" s="2" t="inlineStr">
        <is>
          <t>MediaMarkt</t>
        </is>
      </c>
      <c r="N187" s="2" t="inlineStr">
        <is>
          <t>Samme serie, årgang, størrelse og VESA som OLED65G45LW (21,4 cm). Regional variant med samme bagside.</t>
        </is>
      </c>
    </row>
    <row r="188">
      <c r="A188" s="2" t="inlineStr">
        <is>
          <t>LG</t>
        </is>
      </c>
      <c r="B188" s="2" t="inlineStr">
        <is>
          <t>OLED G4</t>
        </is>
      </c>
      <c r="C188" s="2" t="inlineStr">
        <is>
          <t>OLED G45</t>
        </is>
      </c>
      <c r="D188" s="2" t="inlineStr">
        <is>
          <t>OLED55G45LW</t>
        </is>
      </c>
      <c r="E188" s="3" t="n">
        <v>55</v>
      </c>
      <c r="F188" s="3" t="n">
        <v>2024</v>
      </c>
      <c r="G188" s="4" t="n">
        <v>70.3</v>
      </c>
      <c r="H188" s="3" t="n">
        <v>300</v>
      </c>
      <c r="I188" s="3" t="n">
        <v>200</v>
      </c>
      <c r="J188" s="4" t="n">
        <v>12.1</v>
      </c>
      <c r="K188" s="4">
        <f>IF(ISNUMBER(J188),J188+I188/10,"")</f>
        <v/>
      </c>
      <c r="L188" s="2" t="inlineStr">
        <is>
          <t>billedmålt</t>
        </is>
      </c>
      <c r="M188" s="2" t="inlineStr">
        <is>
          <t>MediaMarkt</t>
        </is>
      </c>
      <c r="N188" s="2" t="inlineStr">
        <is>
          <t>Billedmålt på MediaMarkt-foto: nederste VESA-hul 12,1 cm fra underkant, målt ud fra VESA 300×200 som skala. Usikkerhed ca. ±1 cm. Billedkontrol (LG): 12,4 cm.</t>
        </is>
      </c>
    </row>
    <row r="189">
      <c r="A189" s="2" t="inlineStr">
        <is>
          <t>LG</t>
        </is>
      </c>
      <c r="B189" s="2" t="inlineStr">
        <is>
          <t>OLED G4</t>
        </is>
      </c>
      <c r="C189" s="2" t="inlineStr">
        <is>
          <t>OLED evo G4</t>
        </is>
      </c>
      <c r="D189" s="2" t="inlineStr">
        <is>
          <t>OLED55G46LS, OLED55G49LS, OLED55G48LW</t>
        </is>
      </c>
      <c r="E189" s="3" t="n">
        <v>55</v>
      </c>
      <c r="F189" s="3" t="n">
        <v>2024</v>
      </c>
      <c r="G189" s="4" t="n">
        <v>70.8</v>
      </c>
      <c r="H189" s="3" t="n">
        <v>300</v>
      </c>
      <c r="I189" s="3" t="n">
        <v>200</v>
      </c>
      <c r="J189" s="4" t="n">
        <v>12.1</v>
      </c>
      <c r="K189" s="4">
        <f>IF(ISNUMBER(J189),J189+I189/10,"")</f>
        <v/>
      </c>
      <c r="L189" s="2" t="inlineStr">
        <is>
          <t>samme bagside</t>
        </is>
      </c>
      <c r="M189" s="2" t="inlineStr">
        <is>
          <t>MediaMarkt</t>
        </is>
      </c>
      <c r="N189" s="2" t="inlineStr">
        <is>
          <t>Samme serie, årgang, størrelse og VESA som OLED55G45LW (12,1 cm). Regional variant med samme bagside.</t>
        </is>
      </c>
    </row>
    <row r="190">
      <c r="A190" s="2" t="inlineStr">
        <is>
          <t>LG</t>
        </is>
      </c>
      <c r="B190" s="2" t="inlineStr">
        <is>
          <t>OLED G5</t>
        </is>
      </c>
      <c r="C190" s="2" t="inlineStr">
        <is>
          <t>OLED G54</t>
        </is>
      </c>
      <c r="D190" s="2" t="inlineStr">
        <is>
          <t>OLED97G54LW</t>
        </is>
      </c>
      <c r="E190" s="3" t="n">
        <v>97</v>
      </c>
      <c r="F190" s="3" t="n">
        <v>2025</v>
      </c>
      <c r="G190" s="4" t="n">
        <v>123</v>
      </c>
      <c r="H190" s="3" t="n">
        <v>600</v>
      </c>
      <c r="I190" s="3" t="n">
        <v>400</v>
      </c>
      <c r="J190" s="4" t="n">
        <v>29.7</v>
      </c>
      <c r="K190" s="4">
        <f>IF(ISNUMBER(J190),J190+I190/10,"")</f>
        <v/>
      </c>
      <c r="L190" s="2" t="inlineStr">
        <is>
          <t>billedmålt</t>
        </is>
      </c>
      <c r="M190" s="2" t="inlineStr">
        <is>
          <t>Icecat</t>
        </is>
      </c>
      <c r="N190" s="2" t="inlineStr">
        <is>
          <t>Billedmålt på Icecat-foto: nederste VESA-hul 29,7 cm fra underkant, målt ud fra VESA 600×400 som skala. Usikkerhed ca. ±1 cm. Billedkontrol (Elgiganten): 30,1 cm. Billedkontrol (LG): 29,6 cm.</t>
        </is>
      </c>
    </row>
    <row r="191">
      <c r="A191" s="2" t="inlineStr">
        <is>
          <t>LG</t>
        </is>
      </c>
      <c r="B191" s="2" t="inlineStr">
        <is>
          <t>OLED G5</t>
        </is>
      </c>
      <c r="C191" s="2" t="inlineStr">
        <is>
          <t>OLED G54</t>
        </is>
      </c>
      <c r="D191" s="2" t="inlineStr">
        <is>
          <t>OLED83G54LW, OLED83G55LW, OLED83G57LW, OLED83G58LW, OLED83G54</t>
        </is>
      </c>
      <c r="E191" s="3" t="n">
        <v>83</v>
      </c>
      <c r="F191" s="3" t="n">
        <v>2025</v>
      </c>
      <c r="G191" s="4" t="n">
        <v>105.7</v>
      </c>
      <c r="H191" s="3" t="n">
        <v>400</v>
      </c>
      <c r="I191" s="3" t="n">
        <v>400</v>
      </c>
      <c r="J191" s="4" t="n">
        <v>26.6</v>
      </c>
      <c r="K191" s="4">
        <f>IF(ISNUMBER(J191),J191+I191/10,"")</f>
        <v/>
      </c>
      <c r="L191" s="2" t="inlineStr">
        <is>
          <t>billedmålt</t>
        </is>
      </c>
      <c r="M191" s="2" t="inlineStr">
        <is>
          <t>LG</t>
        </is>
      </c>
      <c r="N191" s="2" t="inlineStr">
        <is>
          <t>Billedmålt på LG-foto: nederste VESA-hul 26,6 cm fra underkant, målt ud fra VESA 400×400 som skala. Usikkerhed ca. ±1 cm.</t>
        </is>
      </c>
    </row>
    <row r="192">
      <c r="A192" s="2" t="inlineStr">
        <is>
          <t>LG</t>
        </is>
      </c>
      <c r="B192" s="2" t="inlineStr">
        <is>
          <t>OLED G5</t>
        </is>
      </c>
      <c r="C192" s="2" t="inlineStr">
        <is>
          <t>OLED G54</t>
        </is>
      </c>
      <c r="D192" s="2" t="inlineStr">
        <is>
          <t>OLED77G54LW, OLED77G55LW, OLED77G57LW, OLED77G54, OLED77G58LW</t>
        </is>
      </c>
      <c r="E192" s="3" t="n">
        <v>77</v>
      </c>
      <c r="F192" s="3" t="n">
        <v>2025</v>
      </c>
      <c r="G192" s="4" t="n">
        <v>98.2</v>
      </c>
      <c r="H192" s="3" t="n">
        <v>300</v>
      </c>
      <c r="I192" s="3" t="n">
        <v>300</v>
      </c>
      <c r="J192" s="4" t="n">
        <v>26.5</v>
      </c>
      <c r="K192" s="4">
        <f>IF(ISNUMBER(J192),J192+I192/10,"")</f>
        <v/>
      </c>
      <c r="L192" s="2" t="inlineStr">
        <is>
          <t>billedmålt</t>
        </is>
      </c>
      <c r="M192" s="2" t="inlineStr">
        <is>
          <t>Elgiganten</t>
        </is>
      </c>
      <c r="N192" s="2" t="inlineStr">
        <is>
          <t>Billedmålt på Elgiganten-foto (foto af OLED77G54LW.AEU): nederste VESA-hul 26,5 cm fra underkant, målt ud fra VESA 300×300 som skala. Usikkerhed ca. ±1 cm. Billedkontrol (LG): 26,5 cm.</t>
        </is>
      </c>
    </row>
    <row r="193">
      <c r="A193" s="2" t="inlineStr">
        <is>
          <t>LG</t>
        </is>
      </c>
      <c r="B193" s="2" t="inlineStr">
        <is>
          <t>OLED G5</t>
        </is>
      </c>
      <c r="C193" s="2" t="inlineStr">
        <is>
          <t>OLED G54</t>
        </is>
      </c>
      <c r="D193" s="2" t="inlineStr">
        <is>
          <t>OLED65G54LW, OLED65G59LS, OLED65G57LW, OLED65G58LW, OLED65G55LW, OLED65G56</t>
        </is>
      </c>
      <c r="E193" s="3" t="n">
        <v>65</v>
      </c>
      <c r="F193" s="3" t="n">
        <v>2025</v>
      </c>
      <c r="G193" s="4" t="n">
        <v>82.59999999999999</v>
      </c>
      <c r="H193" s="3" t="n">
        <v>300</v>
      </c>
      <c r="I193" s="3" t="n">
        <v>300</v>
      </c>
      <c r="J193" s="4" t="n">
        <v>21.4</v>
      </c>
      <c r="K193" s="4">
        <f>IF(ISNUMBER(J193),J193+I193/10,"")</f>
        <v/>
      </c>
      <c r="L193" s="2" t="inlineStr">
        <is>
          <t>billedmålt</t>
        </is>
      </c>
      <c r="M193" s="2" t="inlineStr">
        <is>
          <t>Which?</t>
        </is>
      </c>
      <c r="N193" s="2" t="inlineStr">
        <is>
          <t>Billedmålt på Which?-foto (lg-oled65g54lw): nederste VESA-hul 21,4 cm fra underkant, målt ud fra VESA 300×300 som skala. Usikkerhed ca. ±1 cm. Billedkontrol (Elgiganten): 21,3 cm.</t>
        </is>
      </c>
    </row>
    <row r="194">
      <c r="A194" s="2" t="inlineStr">
        <is>
          <t>LG</t>
        </is>
      </c>
      <c r="B194" s="2" t="inlineStr">
        <is>
          <t>OLED G5</t>
        </is>
      </c>
      <c r="C194" s="2" t="inlineStr">
        <is>
          <t>OLED G56</t>
        </is>
      </c>
      <c r="D194" s="2" t="inlineStr">
        <is>
          <t>OLED65G56LS</t>
        </is>
      </c>
      <c r="E194" s="3" t="n">
        <v>65</v>
      </c>
      <c r="F194" s="3" t="n">
        <v>2025</v>
      </c>
      <c r="G194" s="4" t="n">
        <v>82.59999999999999</v>
      </c>
      <c r="H194" s="3" t="n">
        <v>300</v>
      </c>
      <c r="I194" s="3" t="n">
        <v>300</v>
      </c>
      <c r="J194" s="4" t="n">
        <v>21.4</v>
      </c>
      <c r="K194" s="4">
        <f>IF(ISNUMBER(J194),J194+I194/10,"")</f>
        <v/>
      </c>
      <c r="L194" s="2" t="inlineStr">
        <is>
          <t>billedmålt</t>
        </is>
      </c>
      <c r="M194" s="2" t="inlineStr">
        <is>
          <t>Which?</t>
        </is>
      </c>
      <c r="N194" s="2" t="inlineStr">
        <is>
          <t>Billedmålt på Which?-foto (lg-oled65g56ls): nederste VESA-hul 21,4 cm fra underkant, målt ud fra VESA 300×300 som skala. Usikkerhed ca. ±1 cm. Billedkontrol (LG): 21,4 cm.</t>
        </is>
      </c>
    </row>
    <row r="195">
      <c r="A195" s="2" t="inlineStr">
        <is>
          <t>LG</t>
        </is>
      </c>
      <c r="B195" s="2" t="inlineStr">
        <is>
          <t>OLED G5</t>
        </is>
      </c>
      <c r="C195" s="2" t="inlineStr">
        <is>
          <t>OLED G54</t>
        </is>
      </c>
      <c r="D195" s="2" t="inlineStr">
        <is>
          <t>OLED55G54LW, OLED55G55LW, OLED55G59LS, OLED55G57LW, OLED55G54, OLED55G55LW1, OLED55G56, OLED55G58LW</t>
        </is>
      </c>
      <c r="E195" s="3" t="n">
        <v>55</v>
      </c>
      <c r="F195" s="3" t="n">
        <v>2025</v>
      </c>
      <c r="G195" s="4" t="n">
        <v>70.3</v>
      </c>
      <c r="H195" s="3" t="n">
        <v>300</v>
      </c>
      <c r="I195" s="3" t="n">
        <v>200</v>
      </c>
      <c r="J195" s="4" t="n">
        <v>12.2</v>
      </c>
      <c r="K195" s="4">
        <f>IF(ISNUMBER(J195),J195+I195/10,"")</f>
        <v/>
      </c>
      <c r="L195" s="2" t="inlineStr">
        <is>
          <t>billedmålt</t>
        </is>
      </c>
      <c r="M195" s="2" t="inlineStr">
        <is>
          <t>Elgiganten</t>
        </is>
      </c>
      <c r="N195" s="2" t="inlineStr">
        <is>
          <t>Billedmålt på Elgiganten-foto (foto af OLED55G54LW.AEU): nederste VESA-hul 12,2 cm fra underkant, målt ud fra VESA 300×200 som skala. Usikkerhed ca. ±1 cm. Billedkontrol (LG): 12,1 cm.</t>
        </is>
      </c>
    </row>
    <row r="196">
      <c r="A196" s="2" t="inlineStr">
        <is>
          <t>LG</t>
        </is>
      </c>
      <c r="B196" s="2" t="inlineStr">
        <is>
          <t>OLED G5</t>
        </is>
      </c>
      <c r="C196" s="2" t="inlineStr">
        <is>
          <t>OLED G56</t>
        </is>
      </c>
      <c r="D196" s="2" t="inlineStr">
        <is>
          <t>OLED55G56LS</t>
        </is>
      </c>
      <c r="E196" s="3" t="n">
        <v>55</v>
      </c>
      <c r="F196" s="3" t="n">
        <v>2025</v>
      </c>
      <c r="G196" s="4" t="n">
        <v>70.3</v>
      </c>
      <c r="H196" s="3" t="n">
        <v>300</v>
      </c>
      <c r="I196" s="3" t="n">
        <v>200</v>
      </c>
      <c r="J196" s="4" t="n">
        <v>12.2</v>
      </c>
      <c r="K196" s="4">
        <f>IF(ISNUMBER(J196),J196+I196/10,"")</f>
        <v/>
      </c>
      <c r="L196" s="2" t="inlineStr">
        <is>
          <t>samme bagside</t>
        </is>
      </c>
      <c r="M196" s="2" t="inlineStr">
        <is>
          <t>Elgiganten</t>
        </is>
      </c>
      <c r="N196" s="2" t="inlineStr">
        <is>
          <t>Samme serie, årgang, størrelse og VESA som OLED55G54LW (12,2 cm). Regional variant med samme bagside.</t>
        </is>
      </c>
    </row>
    <row r="197">
      <c r="A197" s="2" t="inlineStr">
        <is>
          <t>LG</t>
        </is>
      </c>
      <c r="B197" s="2" t="inlineStr">
        <is>
          <t>OLED G5</t>
        </is>
      </c>
      <c r="C197" s="2" t="inlineStr">
        <is>
          <t>OLED G56</t>
        </is>
      </c>
      <c r="D197" s="2" t="inlineStr">
        <is>
          <t>OLED48G56LS, OLED48G59LS, OLED48G56LS1</t>
        </is>
      </c>
      <c r="E197" s="3" t="n">
        <v>48</v>
      </c>
      <c r="F197" s="3" t="n">
        <v>2025</v>
      </c>
      <c r="G197" s="4" t="n">
        <v>61.8</v>
      </c>
      <c r="H197" s="3" t="n">
        <v>300</v>
      </c>
      <c r="I197" s="3" t="n">
        <v>200</v>
      </c>
      <c r="J197" s="4" t="n">
        <v>14.2</v>
      </c>
      <c r="K197" s="4">
        <f>IF(ISNUMBER(J197),J197+I197/10,"")</f>
        <v/>
      </c>
      <c r="L197" s="2" t="inlineStr">
        <is>
          <t>billedmålt</t>
        </is>
      </c>
      <c r="M197" s="2" t="inlineStr">
        <is>
          <t>Which?</t>
        </is>
      </c>
      <c r="N197" s="2" t="inlineStr">
        <is>
          <t>Billedmålt på Which?-foto (lg-oled48g56ls): nederste VESA-hul 14,2 cm fra underkant, målt ud fra VESA 300×200 som skala. Usikkerhed ca. ±1 cm.</t>
        </is>
      </c>
    </row>
    <row r="198">
      <c r="A198" s="2" t="inlineStr">
        <is>
          <t>LG</t>
        </is>
      </c>
      <c r="B198" s="2" t="inlineStr">
        <is>
          <t>OLED G6</t>
        </is>
      </c>
      <c r="C198" s="2" t="inlineStr">
        <is>
          <t>OLED G64</t>
        </is>
      </c>
      <c r="D198" s="2" t="inlineStr">
        <is>
          <t>OLED97G64LW</t>
        </is>
      </c>
      <c r="E198" s="3" t="n">
        <v>97</v>
      </c>
      <c r="F198" s="3" t="n">
        <v>2026</v>
      </c>
      <c r="G198" s="4" t="n">
        <v>123</v>
      </c>
      <c r="H198" s="3" t="n">
        <v>600</v>
      </c>
      <c r="I198" s="3" t="n">
        <v>400</v>
      </c>
      <c r="J198" s="4" t="n"/>
      <c r="K198" s="4">
        <f>IF(ISNUMBER(J198),J198+I198/10,"")</f>
        <v/>
      </c>
      <c r="L198" s="2" t="inlineStr">
        <is>
          <t>estimat</t>
        </is>
      </c>
      <c r="M198" s="2" t="inlineStr"/>
      <c r="N198" s="2" t="inlineStr"/>
    </row>
    <row r="199">
      <c r="A199" s="2" t="inlineStr">
        <is>
          <t>LG</t>
        </is>
      </c>
      <c r="B199" s="2" t="inlineStr">
        <is>
          <t>OLED G6</t>
        </is>
      </c>
      <c r="C199" s="2" t="inlineStr">
        <is>
          <t>OLED G62</t>
        </is>
      </c>
      <c r="D199" s="2" t="inlineStr">
        <is>
          <t>OLED83G62LW, OLED83G68LW, OLED83G67LW, OLED83G6</t>
        </is>
      </c>
      <c r="E199" s="3" t="n">
        <v>83</v>
      </c>
      <c r="F199" s="3" t="n">
        <v>2026</v>
      </c>
      <c r="G199" s="4" t="n">
        <v>105.7</v>
      </c>
      <c r="H199" s="3" t="n">
        <v>400</v>
      </c>
      <c r="I199" s="3" t="n">
        <v>400</v>
      </c>
      <c r="J199" s="4" t="n">
        <v>26.4</v>
      </c>
      <c r="K199" s="4">
        <f>IF(ISNUMBER(J199),J199+I199/10,"")</f>
        <v/>
      </c>
      <c r="L199" s="2" t="inlineStr">
        <is>
          <t>samme bagside</t>
        </is>
      </c>
      <c r="M199" s="2" t="inlineStr">
        <is>
          <t>LG</t>
        </is>
      </c>
      <c r="N199" s="2" t="inlineStr">
        <is>
          <t>Samme serie, årgang, størrelse og VESA som OLED83G64LW (26,4 cm). Regional variant med samme bagside.</t>
        </is>
      </c>
    </row>
    <row r="200">
      <c r="A200" s="2" t="inlineStr">
        <is>
          <t>LG</t>
        </is>
      </c>
      <c r="B200" s="2" t="inlineStr">
        <is>
          <t>OLED G6</t>
        </is>
      </c>
      <c r="C200" s="2" t="inlineStr">
        <is>
          <t>OLED G64</t>
        </is>
      </c>
      <c r="D200" s="2" t="inlineStr">
        <is>
          <t>OLED83G64LW</t>
        </is>
      </c>
      <c r="E200" s="3" t="n">
        <v>83</v>
      </c>
      <c r="F200" s="3" t="n">
        <v>2026</v>
      </c>
      <c r="G200" s="4" t="n">
        <v>105.7</v>
      </c>
      <c r="H200" s="3" t="n">
        <v>400</v>
      </c>
      <c r="I200" s="3" t="n">
        <v>400</v>
      </c>
      <c r="J200" s="4" t="n">
        <v>26.4</v>
      </c>
      <c r="K200" s="4">
        <f>IF(ISNUMBER(J200),J200+I200/10,"")</f>
        <v/>
      </c>
      <c r="L200" s="2" t="inlineStr">
        <is>
          <t>billedmålt</t>
        </is>
      </c>
      <c r="M200" s="2" t="inlineStr">
        <is>
          <t>LG</t>
        </is>
      </c>
      <c r="N200" s="2" t="inlineStr">
        <is>
          <t>Billedmålt på LG-foto: nederste VESA-hul 26,4 cm fra underkant, målt ud fra VESA 400×400 som skala. Usikkerhed ca. ±1 cm.</t>
        </is>
      </c>
    </row>
    <row r="201">
      <c r="A201" s="2" t="inlineStr">
        <is>
          <t>LG</t>
        </is>
      </c>
      <c r="B201" s="2" t="inlineStr">
        <is>
          <t>OLED G6</t>
        </is>
      </c>
      <c r="C201" s="2" t="inlineStr">
        <is>
          <t>OLED G64</t>
        </is>
      </c>
      <c r="D201" s="2" t="inlineStr">
        <is>
          <t>OLED77G64LW, OLED77G6V, OLED77G67LW, OLED77G68LW, OLED77G62LW</t>
        </is>
      </c>
      <c r="E201" s="3" t="n">
        <v>77</v>
      </c>
      <c r="F201" s="3" t="n">
        <v>2026</v>
      </c>
      <c r="G201" s="4" t="n">
        <v>98.2</v>
      </c>
      <c r="H201" s="3" t="n">
        <v>300</v>
      </c>
      <c r="I201" s="3" t="n">
        <v>300</v>
      </c>
      <c r="J201" s="4" t="n"/>
      <c r="K201" s="4">
        <f>IF(ISNUMBER(J201),J201+I201/10,"")</f>
        <v/>
      </c>
      <c r="L201" s="2" t="inlineStr">
        <is>
          <t>estimat</t>
        </is>
      </c>
      <c r="M201" s="2" t="inlineStr"/>
      <c r="N201" s="2" t="inlineStr"/>
    </row>
    <row r="202">
      <c r="A202" s="2" t="inlineStr">
        <is>
          <t>LG</t>
        </is>
      </c>
      <c r="B202" s="2" t="inlineStr">
        <is>
          <t>OLED G6</t>
        </is>
      </c>
      <c r="C202" s="2" t="inlineStr">
        <is>
          <t>OLED G62</t>
        </is>
      </c>
      <c r="D202" s="2" t="inlineStr">
        <is>
          <t>OLED65G62LW, OLED65G69LS, OLED65G6V, OLED65G68LW, OLED65G67LW, OLED65G6</t>
        </is>
      </c>
      <c r="E202" s="3" t="n">
        <v>65</v>
      </c>
      <c r="F202" s="3" t="n">
        <v>2026</v>
      </c>
      <c r="G202" s="4" t="n">
        <v>82.59999999999999</v>
      </c>
      <c r="H202" s="3" t="n">
        <v>300</v>
      </c>
      <c r="I202" s="3" t="n">
        <v>300</v>
      </c>
      <c r="J202" s="4" t="n">
        <v>21.3</v>
      </c>
      <c r="K202" s="4">
        <f>IF(ISNUMBER(J202),J202+I202/10,"")</f>
        <v/>
      </c>
      <c r="L202" s="2" t="inlineStr">
        <is>
          <t>billedmålt</t>
        </is>
      </c>
      <c r="M202" s="2" t="inlineStr">
        <is>
          <t>Which?</t>
        </is>
      </c>
      <c r="N202" s="2" t="inlineStr">
        <is>
          <t>Billedmålt på Which?-foto (lg-oled65g62lw): nederste VESA-hul 21,3 cm fra underkant, målt ud fra VESA 300×300 som skala. Usikkerhed ca. ±1 cm.</t>
        </is>
      </c>
    </row>
    <row r="203">
      <c r="A203" s="2" t="inlineStr">
        <is>
          <t>LG</t>
        </is>
      </c>
      <c r="B203" s="2" t="inlineStr">
        <is>
          <t>OLED G6</t>
        </is>
      </c>
      <c r="C203" s="2" t="inlineStr">
        <is>
          <t>OLED G64</t>
        </is>
      </c>
      <c r="D203" s="2" t="inlineStr">
        <is>
          <t>OLED65G64LW</t>
        </is>
      </c>
      <c r="E203" s="3" t="n">
        <v>65</v>
      </c>
      <c r="F203" s="3" t="n">
        <v>2026</v>
      </c>
      <c r="G203" s="4" t="n">
        <v>82.59999999999999</v>
      </c>
      <c r="H203" s="3" t="n">
        <v>300</v>
      </c>
      <c r="I203" s="3" t="n">
        <v>300</v>
      </c>
      <c r="J203" s="4" t="n">
        <v>21.3</v>
      </c>
      <c r="K203" s="4">
        <f>IF(ISNUMBER(J203),J203+I203/10,"")</f>
        <v/>
      </c>
      <c r="L203" s="2" t="inlineStr">
        <is>
          <t>billedmålt</t>
        </is>
      </c>
      <c r="M203" s="2" t="inlineStr">
        <is>
          <t>Which?</t>
        </is>
      </c>
      <c r="N203" s="2" t="inlineStr">
        <is>
          <t>Billedmålt på Which?-foto (lg-oled65g64lw): nederste VESA-hul 21,3 cm fra underkant, målt ud fra VESA 300×300 som skala. Usikkerhed ca. ±1 cm. Billedkontrol (MediaMarkt): 21,5 cm.</t>
        </is>
      </c>
    </row>
    <row r="204">
      <c r="A204" s="2" t="inlineStr">
        <is>
          <t>LG</t>
        </is>
      </c>
      <c r="B204" s="2" t="inlineStr">
        <is>
          <t>OLED G6</t>
        </is>
      </c>
      <c r="C204" s="2" t="inlineStr">
        <is>
          <t>OLED G66</t>
        </is>
      </c>
      <c r="D204" s="2" t="inlineStr">
        <is>
          <t>OLED65G66LS</t>
        </is>
      </c>
      <c r="E204" s="3" t="n">
        <v>65</v>
      </c>
      <c r="F204" s="3" t="n">
        <v>2026</v>
      </c>
      <c r="G204" s="4" t="n">
        <v>82.59999999999999</v>
      </c>
      <c r="H204" s="3" t="n">
        <v>300</v>
      </c>
      <c r="I204" s="3" t="n">
        <v>300</v>
      </c>
      <c r="J204" s="4" t="n">
        <v>21.3</v>
      </c>
      <c r="K204" s="4">
        <f>IF(ISNUMBER(J204),J204+I204/10,"")</f>
        <v/>
      </c>
      <c r="L204" s="2" t="inlineStr">
        <is>
          <t>billedmålt</t>
        </is>
      </c>
      <c r="M204" s="2" t="inlineStr">
        <is>
          <t>Which?</t>
        </is>
      </c>
      <c r="N204" s="2" t="inlineStr">
        <is>
          <t>Billedmålt på Which?-foto (lg-oled65g66ls): nederste VESA-hul 21,3 cm fra underkant, målt ud fra VESA 300×300 som skala. Usikkerhed ca. ±1 cm.</t>
        </is>
      </c>
    </row>
    <row r="205">
      <c r="A205" s="2" t="inlineStr">
        <is>
          <t>LG</t>
        </is>
      </c>
      <c r="B205" s="2" t="inlineStr">
        <is>
          <t>OLED G6</t>
        </is>
      </c>
      <c r="C205" s="2" t="inlineStr">
        <is>
          <t>OLED G62</t>
        </is>
      </c>
      <c r="D205" s="2" t="inlineStr">
        <is>
          <t>OLED55G62LW, OLED55G69LS, OLED55G68LW, OLED55G6, OLED55G67LW</t>
        </is>
      </c>
      <c r="E205" s="3" t="n">
        <v>55</v>
      </c>
      <c r="F205" s="3" t="n">
        <v>2026</v>
      </c>
      <c r="G205" s="4" t="n">
        <v>70.3</v>
      </c>
      <c r="H205" s="3" t="n">
        <v>300</v>
      </c>
      <c r="I205" s="3" t="n">
        <v>200</v>
      </c>
      <c r="J205" s="4" t="n">
        <v>12.1</v>
      </c>
      <c r="K205" s="4">
        <f>IF(ISNUMBER(J205),J205+I205/10,"")</f>
        <v/>
      </c>
      <c r="L205" s="2" t="inlineStr">
        <is>
          <t>billedmålt</t>
        </is>
      </c>
      <c r="M205" s="2" t="inlineStr">
        <is>
          <t>Which?</t>
        </is>
      </c>
      <c r="N205" s="2" t="inlineStr">
        <is>
          <t>Billedmålt på Which?-foto (lg-oled55g62lw): nederste VESA-hul 12,1 cm fra underkant, målt ud fra VESA 300×200 som skala. Usikkerhed ca. ±1 cm.</t>
        </is>
      </c>
    </row>
    <row r="206">
      <c r="A206" s="2" t="inlineStr">
        <is>
          <t>LG</t>
        </is>
      </c>
      <c r="B206" s="2" t="inlineStr">
        <is>
          <t>OLED G6</t>
        </is>
      </c>
      <c r="C206" s="2" t="inlineStr">
        <is>
          <t>OLED G64</t>
        </is>
      </c>
      <c r="D206" s="2" t="inlineStr">
        <is>
          <t>OLED55G64LW</t>
        </is>
      </c>
      <c r="E206" s="3" t="n">
        <v>55</v>
      </c>
      <c r="F206" s="3" t="n">
        <v>2026</v>
      </c>
      <c r="G206" s="4" t="n">
        <v>70.3</v>
      </c>
      <c r="H206" s="3" t="n">
        <v>300</v>
      </c>
      <c r="I206" s="3" t="n">
        <v>200</v>
      </c>
      <c r="J206" s="4" t="n">
        <v>12.1</v>
      </c>
      <c r="K206" s="4">
        <f>IF(ISNUMBER(J206),J206+I206/10,"")</f>
        <v/>
      </c>
      <c r="L206" s="2" t="inlineStr">
        <is>
          <t>samme bagside</t>
        </is>
      </c>
      <c r="M206" s="2" t="inlineStr">
        <is>
          <t>Which?</t>
        </is>
      </c>
      <c r="N206" s="2" t="inlineStr">
        <is>
          <t>Samme serie, årgang, størrelse og VESA som OLED55G62LW (12,1 cm). Regional variant med samme bagside.</t>
        </is>
      </c>
    </row>
    <row r="207">
      <c r="A207" s="2" t="inlineStr">
        <is>
          <t>LG</t>
        </is>
      </c>
      <c r="B207" s="2" t="inlineStr">
        <is>
          <t>OLED G6</t>
        </is>
      </c>
      <c r="C207" s="2" t="inlineStr">
        <is>
          <t>OLED G66</t>
        </is>
      </c>
      <c r="D207" s="2" t="inlineStr">
        <is>
          <t>OLED55G66LS</t>
        </is>
      </c>
      <c r="E207" s="3" t="n">
        <v>55</v>
      </c>
      <c r="F207" s="3" t="n">
        <v>2026</v>
      </c>
      <c r="G207" s="4" t="n">
        <v>70.3</v>
      </c>
      <c r="H207" s="3" t="n">
        <v>300</v>
      </c>
      <c r="I207" s="3" t="n">
        <v>200</v>
      </c>
      <c r="J207" s="4" t="n">
        <v>12.1</v>
      </c>
      <c r="K207" s="4">
        <f>IF(ISNUMBER(J207),J207+I207/10,"")</f>
        <v/>
      </c>
      <c r="L207" s="2" t="inlineStr">
        <is>
          <t>billedmålt</t>
        </is>
      </c>
      <c r="M207" s="2" t="inlineStr">
        <is>
          <t>Which?</t>
        </is>
      </c>
      <c r="N207" s="2" t="inlineStr">
        <is>
          <t>Billedmålt på Which?-foto (lg-oled55g66ls): nederste VESA-hul 12,1 cm fra underkant, målt ud fra VESA 300×200 som skala. Usikkerhed ca. ±1 cm.</t>
        </is>
      </c>
    </row>
    <row r="208">
      <c r="A208" s="2" t="inlineStr">
        <is>
          <t>LG</t>
        </is>
      </c>
      <c r="B208" s="2" t="inlineStr">
        <is>
          <t>OLED G6</t>
        </is>
      </c>
      <c r="C208" s="2" t="inlineStr">
        <is>
          <t>OLED G66</t>
        </is>
      </c>
      <c r="D208" s="2" t="inlineStr">
        <is>
          <t>OLED48G66LS, OLED48G69LS</t>
        </is>
      </c>
      <c r="E208" s="3" t="n">
        <v>48</v>
      </c>
      <c r="F208" s="3" t="n">
        <v>2026</v>
      </c>
      <c r="G208" s="4" t="n">
        <v>62</v>
      </c>
      <c r="H208" s="3" t="n">
        <v>300</v>
      </c>
      <c r="I208" s="3" t="n">
        <v>200</v>
      </c>
      <c r="J208" s="4" t="n"/>
      <c r="K208" s="4">
        <f>IF(ISNUMBER(J208),J208+I208/10,"")</f>
        <v/>
      </c>
      <c r="L208" s="2" t="inlineStr">
        <is>
          <t>estimat</t>
        </is>
      </c>
      <c r="M208" s="2" t="inlineStr"/>
      <c r="N208" s="2" t="inlineStr"/>
    </row>
    <row r="209">
      <c r="A209" s="2" t="inlineStr">
        <is>
          <t>LG</t>
        </is>
      </c>
      <c r="B209" s="2" t="inlineStr">
        <is>
          <t>OLED M3</t>
        </is>
      </c>
      <c r="C209" s="2" t="inlineStr">
        <is>
          <t>OLED M39</t>
        </is>
      </c>
      <c r="D209" s="2" t="inlineStr">
        <is>
          <t>OLED97M39LA</t>
        </is>
      </c>
      <c r="E209" s="3" t="n">
        <v>97</v>
      </c>
      <c r="F209" s="3" t="n">
        <v>2023</v>
      </c>
      <c r="G209" s="4" t="n">
        <v>122.5</v>
      </c>
      <c r="H209" s="3" t="n">
        <v>600</v>
      </c>
      <c r="I209" s="3" t="n">
        <v>400</v>
      </c>
      <c r="J209" s="4" t="n">
        <v>29.8</v>
      </c>
      <c r="K209" s="4">
        <f>IF(ISNUMBER(J209),J209+I209/10,"")</f>
        <v/>
      </c>
      <c r="L209" s="2" t="inlineStr">
        <is>
          <t>producentens mål</t>
        </is>
      </c>
      <c r="M209" s="2" t="inlineStr">
        <is>
          <t>LG-tegning 2023</t>
        </is>
      </c>
      <c r="N209" s="2" t="inlineStr">
        <is>
          <t>Hulplacering fra LG's officielle bagside-tegning 2023 (OLEDM3 97″, X1 = 298 mm). Højde og VESA fra LG's side. Billedkontrol (Icecat): 29,7 cm. Billedkontrol (LG): 29,7 cm.</t>
        </is>
      </c>
    </row>
    <row r="210">
      <c r="A210" s="2" t="inlineStr">
        <is>
          <t>LG</t>
        </is>
      </c>
      <c r="B210" s="2" t="inlineStr">
        <is>
          <t>OLED M3</t>
        </is>
      </c>
      <c r="C210" s="2" t="inlineStr">
        <is>
          <t>OLED M39</t>
        </is>
      </c>
      <c r="D210" s="2" t="inlineStr">
        <is>
          <t>OLED83M39LA</t>
        </is>
      </c>
      <c r="E210" s="3" t="n">
        <v>83</v>
      </c>
      <c r="F210" s="3" t="n">
        <v>2023</v>
      </c>
      <c r="G210" s="4" t="n">
        <v>106.7</v>
      </c>
      <c r="H210" s="3" t="n">
        <v>400</v>
      </c>
      <c r="I210" s="3" t="n">
        <v>400</v>
      </c>
      <c r="J210" s="4" t="n">
        <v>26.5</v>
      </c>
      <c r="K210" s="4">
        <f>IF(ISNUMBER(J210),J210+I210/10,"")</f>
        <v/>
      </c>
      <c r="L210" s="2" t="inlineStr">
        <is>
          <t>producentens mål</t>
        </is>
      </c>
      <c r="M210" s="2" t="inlineStr">
        <is>
          <t>LG-tegning 2023</t>
        </is>
      </c>
      <c r="N210" s="2" t="inlineStr">
        <is>
          <t>Hulplacering fra LG's officielle bagside-tegning 2023 (OLEDM3 83″, X1 = 265 mm). Højde og VESA fra LG's side.</t>
        </is>
      </c>
    </row>
    <row r="211">
      <c r="A211" s="2" t="inlineStr">
        <is>
          <t>LG</t>
        </is>
      </c>
      <c r="B211" s="2" t="inlineStr">
        <is>
          <t>OLED M3</t>
        </is>
      </c>
      <c r="C211" s="2" t="inlineStr">
        <is>
          <t>OLED M39</t>
        </is>
      </c>
      <c r="D211" s="2" t="inlineStr">
        <is>
          <t>OLED77M39LA</t>
        </is>
      </c>
      <c r="E211" s="3" t="n">
        <v>77</v>
      </c>
      <c r="F211" s="3" t="n">
        <v>2023</v>
      </c>
      <c r="G211" s="4" t="n">
        <v>99.2</v>
      </c>
      <c r="H211" s="3" t="n">
        <v>300</v>
      </c>
      <c r="I211" s="3" t="n">
        <v>300</v>
      </c>
      <c r="J211" s="4" t="n">
        <v>26.5</v>
      </c>
      <c r="K211" s="4">
        <f>IF(ISNUMBER(J211),J211+I211/10,"")</f>
        <v/>
      </c>
      <c r="L211" s="2" t="inlineStr">
        <is>
          <t>producentens mål</t>
        </is>
      </c>
      <c r="M211" s="2" t="inlineStr">
        <is>
          <t>LG-tegning 2023</t>
        </is>
      </c>
      <c r="N211" s="2" t="inlineStr">
        <is>
          <t>Hulplacering fra LG's officielle bagside-tegning 2023 (OLEDM3 77″, X1 = 265 mm). Højde og VESA fra LG's side. Billedkontrol (Icecat): 26,5 cm. Billedkontrol (MediaMarkt): 26,6 cm. Billedkontrol (LG): 26,4 cm.</t>
        </is>
      </c>
    </row>
    <row r="212">
      <c r="A212" s="2" t="inlineStr">
        <is>
          <t>LG</t>
        </is>
      </c>
      <c r="B212" s="2" t="inlineStr">
        <is>
          <t>OLED M4</t>
        </is>
      </c>
      <c r="C212" s="2" t="inlineStr">
        <is>
          <t>OLED M49</t>
        </is>
      </c>
      <c r="D212" s="2" t="inlineStr">
        <is>
          <t>OLED97M49LA</t>
        </is>
      </c>
      <c r="E212" s="3" t="n">
        <v>97</v>
      </c>
      <c r="F212" s="3" t="n">
        <v>2024</v>
      </c>
      <c r="G212" s="4" t="n">
        <v>124</v>
      </c>
      <c r="H212" s="3" t="n">
        <v>600</v>
      </c>
      <c r="I212" s="3" t="n">
        <v>400</v>
      </c>
      <c r="J212" s="4" t="n">
        <v>29.7</v>
      </c>
      <c r="K212" s="4">
        <f>IF(ISNUMBER(J212),J212+I212/10,"")</f>
        <v/>
      </c>
      <c r="L212" s="2" t="inlineStr">
        <is>
          <t>billedmålt</t>
        </is>
      </c>
      <c r="M212" s="2" t="inlineStr">
        <is>
          <t>MediaMarkt</t>
        </is>
      </c>
      <c r="N212" s="2" t="inlineStr">
        <is>
          <t>Billedmålt på MediaMarkt-foto: nederste VESA-hul 29,7 cm fra underkant, målt ud fra VESA 600×400 som skala. Usikkerhed ca. ±1 cm. Billedkontrol (LG): 29,7 cm.</t>
        </is>
      </c>
    </row>
    <row r="213">
      <c r="A213" s="2" t="inlineStr">
        <is>
          <t>LG</t>
        </is>
      </c>
      <c r="B213" s="2" t="inlineStr">
        <is>
          <t>OLED M4</t>
        </is>
      </c>
      <c r="C213" s="2" t="inlineStr">
        <is>
          <t>OLED M49</t>
        </is>
      </c>
      <c r="D213" s="2" t="inlineStr">
        <is>
          <t>OLED83M49LA</t>
        </is>
      </c>
      <c r="E213" s="3" t="n">
        <v>83</v>
      </c>
      <c r="F213" s="3" t="n">
        <v>2024</v>
      </c>
      <c r="G213" s="4" t="n">
        <v>106.7</v>
      </c>
      <c r="H213" s="3" t="n">
        <v>400</v>
      </c>
      <c r="I213" s="3" t="n">
        <v>400</v>
      </c>
      <c r="J213" s="4" t="n">
        <v>28.8</v>
      </c>
      <c r="K213" s="4">
        <f>IF(ISNUMBER(J213),J213+I213/10,"")</f>
        <v/>
      </c>
      <c r="L213" s="2" t="inlineStr">
        <is>
          <t>billedmålt</t>
        </is>
      </c>
      <c r="M213" s="2" t="inlineStr">
        <is>
          <t>LG</t>
        </is>
      </c>
      <c r="N213" s="2" t="inlineStr">
        <is>
          <t>Billedmålt på LG-foto: nederste VESA-hul 28,8 cm fra underkant, målt ud fra VESA 400×400 som skala. Usikkerhed ca. ±1 cm.</t>
        </is>
      </c>
    </row>
    <row r="214">
      <c r="A214" s="2" t="inlineStr">
        <is>
          <t>LG</t>
        </is>
      </c>
      <c r="B214" s="2" t="inlineStr">
        <is>
          <t>OLED M4</t>
        </is>
      </c>
      <c r="C214" s="2" t="inlineStr">
        <is>
          <t>OLED M49</t>
        </is>
      </c>
      <c r="D214" s="2" t="inlineStr">
        <is>
          <t>OLED77M49LA</t>
        </is>
      </c>
      <c r="E214" s="3" t="n">
        <v>77</v>
      </c>
      <c r="F214" s="3" t="n">
        <v>2024</v>
      </c>
      <c r="G214" s="4" t="n">
        <v>99.2</v>
      </c>
      <c r="H214" s="3" t="n">
        <v>300</v>
      </c>
      <c r="I214" s="3" t="n">
        <v>300</v>
      </c>
      <c r="J214" s="4" t="n">
        <v>26.4</v>
      </c>
      <c r="K214" s="4">
        <f>IF(ISNUMBER(J214),J214+I214/10,"")</f>
        <v/>
      </c>
      <c r="L214" s="2" t="inlineStr">
        <is>
          <t>billedmålt</t>
        </is>
      </c>
      <c r="M214" s="2" t="inlineStr">
        <is>
          <t>MediaMarkt</t>
        </is>
      </c>
      <c r="N214" s="2" t="inlineStr">
        <is>
          <t>Billedmålt på MediaMarkt-foto: nederste VESA-hul 26,4 cm fra underkant, målt ud fra VESA 300×300 som skala. Usikkerhed ca. ±1 cm. Billedkontrol (LG): 26,5 cm.</t>
        </is>
      </c>
    </row>
    <row r="215">
      <c r="A215" s="2" t="inlineStr">
        <is>
          <t>LG</t>
        </is>
      </c>
      <c r="B215" s="2" t="inlineStr">
        <is>
          <t>OLED M4</t>
        </is>
      </c>
      <c r="C215" s="2" t="inlineStr">
        <is>
          <t>OLED M49</t>
        </is>
      </c>
      <c r="D215" s="2" t="inlineStr">
        <is>
          <t>OLED65M49LA</t>
        </is>
      </c>
      <c r="E215" s="3" t="n">
        <v>65</v>
      </c>
      <c r="F215" s="3" t="n">
        <v>2024</v>
      </c>
      <c r="G215" s="4" t="n">
        <v>83.59999999999999</v>
      </c>
      <c r="H215" s="3" t="n">
        <v>300</v>
      </c>
      <c r="I215" s="3" t="n">
        <v>300</v>
      </c>
      <c r="J215" s="4" t="n">
        <v>21.7</v>
      </c>
      <c r="K215" s="4">
        <f>IF(ISNUMBER(J215),J215+I215/10,"")</f>
        <v/>
      </c>
      <c r="L215" s="2" t="inlineStr">
        <is>
          <t>billedmålt</t>
        </is>
      </c>
      <c r="M215" s="2" t="inlineStr">
        <is>
          <t>MediaMarkt</t>
        </is>
      </c>
      <c r="N215" s="2" t="inlineStr">
        <is>
          <t>Billedmålt på MediaMarkt-foto: nederste VESA-hul 21,7 cm fra underkant, målt ud fra VESA 300×300 som skala. Usikkerhed ca. ±1 cm. Billedkontrol (LG): 21,6 cm.</t>
        </is>
      </c>
    </row>
    <row r="216">
      <c r="A216" s="2" t="inlineStr">
        <is>
          <t>LG</t>
        </is>
      </c>
      <c r="B216" s="2" t="inlineStr">
        <is>
          <t>OLED M5</t>
        </is>
      </c>
      <c r="C216" s="2" t="inlineStr">
        <is>
          <t>OLED M59</t>
        </is>
      </c>
      <c r="D216" s="2" t="inlineStr">
        <is>
          <t>OLED97M59LA</t>
        </is>
      </c>
      <c r="E216" s="3" t="n">
        <v>97</v>
      </c>
      <c r="F216" s="3" t="n">
        <v>2025</v>
      </c>
      <c r="G216" s="4" t="n">
        <v>123.5</v>
      </c>
      <c r="H216" s="3" t="n">
        <v>600</v>
      </c>
      <c r="I216" s="3" t="n">
        <v>400</v>
      </c>
      <c r="J216" s="4" t="n">
        <v>29.7</v>
      </c>
      <c r="K216" s="4">
        <f>IF(ISNUMBER(J216),J216+I216/10,"")</f>
        <v/>
      </c>
      <c r="L216" s="2" t="inlineStr">
        <is>
          <t>billedmålt</t>
        </is>
      </c>
      <c r="M216" s="2" t="inlineStr">
        <is>
          <t>MediaMarkt</t>
        </is>
      </c>
      <c r="N216" s="2" t="inlineStr">
        <is>
          <t>Billedmålt på MediaMarkt-foto: nederste VESA-hul 29,7 cm fra underkant, målt ud fra VESA 600×400 som skala. Usikkerhed ca. ±1 cm.</t>
        </is>
      </c>
    </row>
    <row r="217">
      <c r="A217" s="2" t="inlineStr">
        <is>
          <t>LG</t>
        </is>
      </c>
      <c r="B217" s="2" t="inlineStr">
        <is>
          <t>OLED M5</t>
        </is>
      </c>
      <c r="C217" s="2" t="inlineStr">
        <is>
          <t>OLED M59</t>
        </is>
      </c>
      <c r="D217" s="2" t="inlineStr">
        <is>
          <t>OLED83M59LA</t>
        </is>
      </c>
      <c r="E217" s="3" t="n">
        <v>83</v>
      </c>
      <c r="F217" s="3" t="n">
        <v>2025</v>
      </c>
      <c r="G217" s="4" t="n">
        <v>106.2</v>
      </c>
      <c r="H217" s="3" t="n">
        <v>400</v>
      </c>
      <c r="I217" s="3" t="n">
        <v>400</v>
      </c>
      <c r="J217" s="4" t="n"/>
      <c r="K217" s="4">
        <f>IF(ISNUMBER(J217),J217+I217/10,"")</f>
        <v/>
      </c>
      <c r="L217" s="2" t="inlineStr">
        <is>
          <t>estimat</t>
        </is>
      </c>
      <c r="M217" s="2" t="inlineStr"/>
      <c r="N217" s="2" t="inlineStr"/>
    </row>
    <row r="218">
      <c r="A218" s="2" t="inlineStr">
        <is>
          <t>LG</t>
        </is>
      </c>
      <c r="B218" s="2" t="inlineStr">
        <is>
          <t>OLED M5</t>
        </is>
      </c>
      <c r="C218" s="2" t="inlineStr">
        <is>
          <t>OLED M59</t>
        </is>
      </c>
      <c r="D218" s="2" t="inlineStr">
        <is>
          <t>OLED77M59LA</t>
        </is>
      </c>
      <c r="E218" s="3" t="n">
        <v>77</v>
      </c>
      <c r="F218" s="3" t="n">
        <v>2025</v>
      </c>
      <c r="G218" s="4" t="n">
        <v>98.59999999999999</v>
      </c>
      <c r="H218" s="3" t="n">
        <v>300</v>
      </c>
      <c r="I218" s="3" t="n">
        <v>300</v>
      </c>
      <c r="J218" s="4" t="n"/>
      <c r="K218" s="4">
        <f>IF(ISNUMBER(J218),J218+I218/10,"")</f>
        <v/>
      </c>
      <c r="L218" s="2" t="inlineStr">
        <is>
          <t>estimat</t>
        </is>
      </c>
      <c r="M218" s="2" t="inlineStr"/>
      <c r="N218" s="2" t="inlineStr"/>
    </row>
    <row r="219">
      <c r="A219" s="2" t="inlineStr">
        <is>
          <t>LG</t>
        </is>
      </c>
      <c r="B219" s="2" t="inlineStr">
        <is>
          <t>OLED M5</t>
        </is>
      </c>
      <c r="C219" s="2" t="inlineStr">
        <is>
          <t>OLED M59</t>
        </is>
      </c>
      <c r="D219" s="2" t="inlineStr">
        <is>
          <t>OLED65M59LA</t>
        </is>
      </c>
      <c r="E219" s="3" t="n">
        <v>65</v>
      </c>
      <c r="F219" s="3" t="n">
        <v>2025</v>
      </c>
      <c r="G219" s="4" t="n">
        <v>83.09999999999999</v>
      </c>
      <c r="H219" s="3" t="n">
        <v>300</v>
      </c>
      <c r="I219" s="3" t="n">
        <v>300</v>
      </c>
      <c r="J219" s="4" t="n">
        <v>21.3</v>
      </c>
      <c r="K219" s="4">
        <f>IF(ISNUMBER(J219),J219+I219/10,"")</f>
        <v/>
      </c>
      <c r="L219" s="2" t="inlineStr">
        <is>
          <t>billedmålt</t>
        </is>
      </c>
      <c r="M219" s="2" t="inlineStr">
        <is>
          <t>LG</t>
        </is>
      </c>
      <c r="N219" s="2" t="inlineStr">
        <is>
          <t>Billedmålt på LG-foto: nederste VESA-hul 21,3 cm fra underkant, målt ud fra VESA 300×300 som skala. Usikkerhed ca. ±1 cm.</t>
        </is>
      </c>
    </row>
    <row r="220">
      <c r="A220" s="2" t="inlineStr">
        <is>
          <t>LG</t>
        </is>
      </c>
      <c r="B220" s="2" t="inlineStr">
        <is>
          <t>OLED Z3</t>
        </is>
      </c>
      <c r="C220" s="2" t="inlineStr">
        <is>
          <t>OLED Z3 (2023)</t>
        </is>
      </c>
      <c r="D220" s="2" t="inlineStr">
        <is>
          <t>LG OLED Z3 88″ 2023</t>
        </is>
      </c>
      <c r="E220" s="3" t="n">
        <v>88</v>
      </c>
      <c r="F220" s="3" t="n">
        <v>2023</v>
      </c>
      <c r="G220" s="4" t="n">
        <v>111.6</v>
      </c>
      <c r="H220" s="3" t="n">
        <v>600</v>
      </c>
      <c r="I220" s="3" t="n">
        <v>400</v>
      </c>
      <c r="J220" s="4" t="n">
        <v>9.4</v>
      </c>
      <c r="K220" s="4">
        <f>IF(ISNUMBER(J220),J220+I220/10,"")</f>
        <v/>
      </c>
      <c r="L220" s="2" t="inlineStr">
        <is>
          <t>producentens mål</t>
        </is>
      </c>
      <c r="M220" s="2" t="inlineStr">
        <is>
          <t>LG-tegning 2023</t>
        </is>
      </c>
      <c r="N220" s="2" t="inlineStr">
        <is>
          <t>LG's officielle bagside-tegning 2023: X1 = 94 mm. Højden er regnet som X1 + VESA + W (ca. 1 cm usikkerhed).</t>
        </is>
      </c>
    </row>
    <row r="221">
      <c r="A221" s="2" t="inlineStr">
        <is>
          <t>LG</t>
        </is>
      </c>
      <c r="B221" s="2" t="inlineStr">
        <is>
          <t>OLED Z3</t>
        </is>
      </c>
      <c r="C221" s="2" t="inlineStr">
        <is>
          <t>OLED Z39</t>
        </is>
      </c>
      <c r="D221" s="2" t="inlineStr">
        <is>
          <t>OLED77Z39LA, OLED77Z39LA1</t>
        </is>
      </c>
      <c r="E221" s="3" t="n">
        <v>77</v>
      </c>
      <c r="F221" s="3" t="n">
        <v>2023</v>
      </c>
      <c r="G221" s="4" t="n">
        <v>98.40000000000001</v>
      </c>
      <c r="H221" s="3" t="n">
        <v>400</v>
      </c>
      <c r="I221" s="3" t="n">
        <v>400</v>
      </c>
      <c r="J221" s="4" t="n">
        <v>36</v>
      </c>
      <c r="K221" s="4">
        <f>IF(ISNUMBER(J221),J221+I221/10,"")</f>
        <v/>
      </c>
      <c r="L221" s="2" t="inlineStr">
        <is>
          <t>producentens mål</t>
        </is>
      </c>
      <c r="M221" s="2" t="inlineStr">
        <is>
          <t>LG-tegning 2023</t>
        </is>
      </c>
      <c r="N221" s="2" t="inlineStr">
        <is>
          <t>Hulplacering fra LG's officielle bagside-tegning 2023 (OLEDZ3 77″, X1 = 360 mm). Højde og VESA fra LG's side. Billedkontrol (LG): 35,8 cm.</t>
        </is>
      </c>
    </row>
    <row r="222">
      <c r="A222" s="2" t="inlineStr">
        <is>
          <t>LG</t>
        </is>
      </c>
      <c r="B222" s="2" t="inlineStr">
        <is>
          <t>QNED70</t>
        </is>
      </c>
      <c r="C222" s="2" t="inlineStr">
        <is>
          <t>QNED70</t>
        </is>
      </c>
      <c r="D222" s="2" t="inlineStr">
        <is>
          <t>85QNED70B6A</t>
        </is>
      </c>
      <c r="E222" s="3" t="n">
        <v>85</v>
      </c>
      <c r="F222" s="3" t="n">
        <v>2026</v>
      </c>
      <c r="G222" s="4" t="n">
        <v>108.8</v>
      </c>
      <c r="H222" s="3" t="n">
        <v>400</v>
      </c>
      <c r="I222" s="3" t="n">
        <v>400</v>
      </c>
      <c r="J222" s="4" t="n">
        <v>11.4</v>
      </c>
      <c r="K222" s="4">
        <f>IF(ISNUMBER(J222),J222+I222/10,"")</f>
        <v/>
      </c>
      <c r="L222" s="2" t="inlineStr">
        <is>
          <t>billedmålt</t>
        </is>
      </c>
      <c r="M222" s="2" t="inlineStr">
        <is>
          <t>MediaMarkt</t>
        </is>
      </c>
      <c r="N222" s="2" t="inlineStr">
        <is>
          <t>Billedmålt på MediaMarkt-foto: nederste VESA-hul 11,4 cm fra underkant, målt ud fra VESA 400×400 som skala. Usikkerhed ca. ±1 cm.</t>
        </is>
      </c>
    </row>
    <row r="223">
      <c r="A223" s="2" t="inlineStr">
        <is>
          <t>LG</t>
        </is>
      </c>
      <c r="B223" s="2" t="inlineStr">
        <is>
          <t>QNED70</t>
        </is>
      </c>
      <c r="C223" s="2" t="inlineStr">
        <is>
          <t>QNED70</t>
        </is>
      </c>
      <c r="D223" s="2" t="inlineStr">
        <is>
          <t>75QNED70B6A</t>
        </is>
      </c>
      <c r="E223" s="3" t="n">
        <v>75</v>
      </c>
      <c r="F223" s="3" t="n">
        <v>2026</v>
      </c>
      <c r="G223" s="4" t="n">
        <v>96.3</v>
      </c>
      <c r="H223" s="3" t="n">
        <v>300</v>
      </c>
      <c r="I223" s="3" t="n">
        <v>300</v>
      </c>
      <c r="J223" s="4" t="n">
        <v>12.2</v>
      </c>
      <c r="K223" s="4">
        <f>IF(ISNUMBER(J223),J223+I223/10,"")</f>
        <v/>
      </c>
      <c r="L223" s="2" t="inlineStr">
        <is>
          <t>billedmålt</t>
        </is>
      </c>
      <c r="M223" s="2" t="inlineStr">
        <is>
          <t>MediaMarkt</t>
        </is>
      </c>
      <c r="N223" s="2" t="inlineStr">
        <is>
          <t>Billedmålt på MediaMarkt-foto: nederste VESA-hul 12,2 cm fra underkant, målt ud fra VESA 300×300 som skala. Usikkerhed ca. ±1 cm.</t>
        </is>
      </c>
    </row>
    <row r="224">
      <c r="A224" s="2" t="inlineStr">
        <is>
          <t>LG</t>
        </is>
      </c>
      <c r="B224" s="2" t="inlineStr">
        <is>
          <t>QNED70</t>
        </is>
      </c>
      <c r="C224" s="2" t="inlineStr">
        <is>
          <t>QNED70</t>
        </is>
      </c>
      <c r="D224" s="2" t="inlineStr">
        <is>
          <t>65QNED70A6A</t>
        </is>
      </c>
      <c r="E224" s="3" t="n">
        <v>65</v>
      </c>
      <c r="F224" s="3" t="n">
        <v>2025</v>
      </c>
      <c r="G224" s="4" t="n">
        <v>83.8</v>
      </c>
      <c r="H224" s="3" t="n">
        <v>300</v>
      </c>
      <c r="I224" s="3" t="n">
        <v>200</v>
      </c>
      <c r="J224" s="4" t="n"/>
      <c r="K224" s="4">
        <f>IF(ISNUMBER(J224),J224+I224/10,"")</f>
        <v/>
      </c>
      <c r="L224" s="2" t="inlineStr">
        <is>
          <t>estimat</t>
        </is>
      </c>
      <c r="M224" s="2" t="inlineStr"/>
      <c r="N224" s="2" t="inlineStr"/>
    </row>
    <row r="225">
      <c r="A225" s="2" t="inlineStr">
        <is>
          <t>LG</t>
        </is>
      </c>
      <c r="B225" s="2" t="inlineStr">
        <is>
          <t>QNED70</t>
        </is>
      </c>
      <c r="C225" s="2" t="inlineStr">
        <is>
          <t>QNED70</t>
        </is>
      </c>
      <c r="D225" s="2" t="inlineStr">
        <is>
          <t>65QNED70B6C</t>
        </is>
      </c>
      <c r="E225" s="3" t="n">
        <v>65</v>
      </c>
      <c r="F225" s="3" t="n">
        <v>2026</v>
      </c>
      <c r="G225" s="4" t="n">
        <v>83.8</v>
      </c>
      <c r="H225" s="3" t="n">
        <v>300</v>
      </c>
      <c r="I225" s="3" t="n">
        <v>200</v>
      </c>
      <c r="J225" s="4" t="n">
        <v>21.3</v>
      </c>
      <c r="K225" s="4">
        <f>IF(ISNUMBER(J225),J225+I225/10,"")</f>
        <v/>
      </c>
      <c r="L225" s="2" t="inlineStr">
        <is>
          <t>billedmålt</t>
        </is>
      </c>
      <c r="M225" s="2" t="inlineStr">
        <is>
          <t>Which?</t>
        </is>
      </c>
      <c r="N225" s="2" t="inlineStr">
        <is>
          <t>Billedmålt på Which?-foto (lg-65qned70b6c): nederste VESA-hul 21,3 cm fra underkant, målt ud fra VESA 300×200 som skala. Usikkerhed ca. ±1 cm. Billedkontrol (MediaMarkt): 21,4 cm.</t>
        </is>
      </c>
    </row>
    <row r="226">
      <c r="A226" s="2" t="inlineStr">
        <is>
          <t>LG</t>
        </is>
      </c>
      <c r="B226" s="2" t="inlineStr">
        <is>
          <t>QNED70</t>
        </is>
      </c>
      <c r="C226" s="2" t="inlineStr">
        <is>
          <t>QNED70</t>
        </is>
      </c>
      <c r="D226" s="2" t="inlineStr">
        <is>
          <t>55QNED70A6A</t>
        </is>
      </c>
      <c r="E226" s="3" t="n">
        <v>55</v>
      </c>
      <c r="F226" s="3" t="n">
        <v>2025</v>
      </c>
      <c r="G226" s="4" t="n">
        <v>71.5</v>
      </c>
      <c r="H226" s="3" t="n">
        <v>300</v>
      </c>
      <c r="I226" s="3" t="n">
        <v>200</v>
      </c>
      <c r="J226" s="4" t="n">
        <v>14</v>
      </c>
      <c r="K226" s="4">
        <f>IF(ISNUMBER(J226),J226+I226/10,"")</f>
        <v/>
      </c>
      <c r="L226" s="2" t="inlineStr">
        <is>
          <t>billedmålt</t>
        </is>
      </c>
      <c r="M226" s="2" t="inlineStr">
        <is>
          <t>LG</t>
        </is>
      </c>
      <c r="N226" s="2" t="inlineStr">
        <is>
          <t>Billedmålt på LG-foto: nederste VESA-hul 14 cm fra underkant, målt ud fra VESA 300×200 som skala. Usikkerhed ca. ±1 cm.</t>
        </is>
      </c>
    </row>
    <row r="227">
      <c r="A227" s="2" t="inlineStr">
        <is>
          <t>LG</t>
        </is>
      </c>
      <c r="B227" s="2" t="inlineStr">
        <is>
          <t>QNED70</t>
        </is>
      </c>
      <c r="C227" s="2" t="inlineStr">
        <is>
          <t>QNED70</t>
        </is>
      </c>
      <c r="D227" s="2" t="inlineStr">
        <is>
          <t>55QNED70B6C</t>
        </is>
      </c>
      <c r="E227" s="3" t="n">
        <v>55</v>
      </c>
      <c r="F227" s="3" t="n">
        <v>2026</v>
      </c>
      <c r="G227" s="4" t="n">
        <v>71.5</v>
      </c>
      <c r="H227" s="3" t="n">
        <v>300</v>
      </c>
      <c r="I227" s="3" t="n">
        <v>200</v>
      </c>
      <c r="J227" s="4" t="n">
        <v>21.3</v>
      </c>
      <c r="K227" s="4">
        <f>IF(ISNUMBER(J227),J227+I227/10,"")</f>
        <v/>
      </c>
      <c r="L227" s="2" t="inlineStr">
        <is>
          <t>billedmålt</t>
        </is>
      </c>
      <c r="M227" s="2" t="inlineStr">
        <is>
          <t>Which?</t>
        </is>
      </c>
      <c r="N227" s="2" t="inlineStr">
        <is>
          <t>Billedmålt på Which?-foto (lg-55qned70b6c): nederste VESA-hul 21,3 cm fra underkant, målt ud fra VESA 300×200 som skala. Usikkerhed ca. ±1 cm. Billedkontrol (MediaMarkt): 21,4 cm.</t>
        </is>
      </c>
    </row>
    <row r="228">
      <c r="A228" s="2" t="inlineStr">
        <is>
          <t>LG</t>
        </is>
      </c>
      <c r="B228" s="2" t="inlineStr">
        <is>
          <t>QNED70</t>
        </is>
      </c>
      <c r="C228" s="2" t="inlineStr">
        <is>
          <t>QNED70</t>
        </is>
      </c>
      <c r="D228" s="2" t="inlineStr">
        <is>
          <t>50QNED70A6A</t>
        </is>
      </c>
      <c r="E228" s="3" t="n">
        <v>50</v>
      </c>
      <c r="F228" s="3" t="n">
        <v>2025</v>
      </c>
      <c r="G228" s="4" t="n">
        <v>64.90000000000001</v>
      </c>
      <c r="H228" s="3" t="n">
        <v>300</v>
      </c>
      <c r="I228" s="3" t="n">
        <v>200</v>
      </c>
      <c r="J228" s="4" t="n"/>
      <c r="K228" s="4">
        <f>IF(ISNUMBER(J228),J228+I228/10,"")</f>
        <v/>
      </c>
      <c r="L228" s="2" t="inlineStr">
        <is>
          <t>estimat</t>
        </is>
      </c>
      <c r="M228" s="2" t="inlineStr"/>
      <c r="N228" s="2" t="inlineStr"/>
    </row>
    <row r="229">
      <c r="A229" s="2" t="inlineStr">
        <is>
          <t>LG</t>
        </is>
      </c>
      <c r="B229" s="2" t="inlineStr">
        <is>
          <t>QNED70</t>
        </is>
      </c>
      <c r="C229" s="2" t="inlineStr">
        <is>
          <t>QNED70</t>
        </is>
      </c>
      <c r="D229" s="2" t="inlineStr">
        <is>
          <t>50QNED70B6C</t>
        </is>
      </c>
      <c r="E229" s="3" t="n">
        <v>50</v>
      </c>
      <c r="F229" s="3" t="n">
        <v>2026</v>
      </c>
      <c r="G229" s="4" t="n">
        <v>64.90000000000001</v>
      </c>
      <c r="H229" s="3" t="n">
        <v>300</v>
      </c>
      <c r="I229" s="3" t="n">
        <v>200</v>
      </c>
      <c r="J229" s="4" t="n">
        <v>21.6</v>
      </c>
      <c r="K229" s="4">
        <f>IF(ISNUMBER(J229),J229+I229/10,"")</f>
        <v/>
      </c>
      <c r="L229" s="2" t="inlineStr">
        <is>
          <t>billedmålt</t>
        </is>
      </c>
      <c r="M229" s="2" t="inlineStr">
        <is>
          <t>Which?</t>
        </is>
      </c>
      <c r="N229" s="2" t="inlineStr">
        <is>
          <t>Billedmålt på Which?-foto (lg-50qned70b6c): nederste VESA-hul 21,6 cm fra underkant, målt ud fra VESA 300×200 som skala. Usikkerhed ca. ±1 cm. Billedkontrol (MediaMarkt): 21,5 cm.</t>
        </is>
      </c>
    </row>
    <row r="230">
      <c r="A230" s="2" t="inlineStr">
        <is>
          <t>LG</t>
        </is>
      </c>
      <c r="B230" s="2" t="inlineStr">
        <is>
          <t>QNED70</t>
        </is>
      </c>
      <c r="C230" s="2" t="inlineStr">
        <is>
          <t>QNED70</t>
        </is>
      </c>
      <c r="D230" s="2" t="inlineStr">
        <is>
          <t>43QNED70A6A</t>
        </is>
      </c>
      <c r="E230" s="3" t="n">
        <v>43</v>
      </c>
      <c r="F230" s="3" t="n">
        <v>2025</v>
      </c>
      <c r="G230" s="4" t="n">
        <v>56.3</v>
      </c>
      <c r="H230" s="3" t="n">
        <v>300</v>
      </c>
      <c r="I230" s="3" t="n">
        <v>200</v>
      </c>
      <c r="J230" s="4" t="n"/>
      <c r="K230" s="4">
        <f>IF(ISNUMBER(J230),J230+I230/10,"")</f>
        <v/>
      </c>
      <c r="L230" s="2" t="inlineStr">
        <is>
          <t>estimat</t>
        </is>
      </c>
      <c r="M230" s="2" t="inlineStr"/>
      <c r="N230" s="2" t="inlineStr"/>
    </row>
    <row r="231">
      <c r="A231" s="2" t="inlineStr">
        <is>
          <t>LG</t>
        </is>
      </c>
      <c r="B231" s="2" t="inlineStr">
        <is>
          <t>QNED70</t>
        </is>
      </c>
      <c r="C231" s="2" t="inlineStr">
        <is>
          <t>QNED70</t>
        </is>
      </c>
      <c r="D231" s="2" t="inlineStr">
        <is>
          <t>43QNED70B6C</t>
        </is>
      </c>
      <c r="E231" s="3" t="n">
        <v>43</v>
      </c>
      <c r="F231" s="3" t="n">
        <v>2026</v>
      </c>
      <c r="G231" s="4" t="n">
        <v>56.3</v>
      </c>
      <c r="H231" s="3" t="n">
        <v>300</v>
      </c>
      <c r="I231" s="3" t="n">
        <v>200</v>
      </c>
      <c r="J231" s="4" t="n">
        <v>21.3</v>
      </c>
      <c r="K231" s="4">
        <f>IF(ISNUMBER(J231),J231+I231/10,"")</f>
        <v/>
      </c>
      <c r="L231" s="2" t="inlineStr">
        <is>
          <t>billedmålt</t>
        </is>
      </c>
      <c r="M231" s="2" t="inlineStr">
        <is>
          <t>Which?</t>
        </is>
      </c>
      <c r="N231" s="2" t="inlineStr">
        <is>
          <t>Billedmålt på Which?-foto (lg-43qned70b6c): nederste VESA-hul 21,3 cm fra underkant, målt ud fra VESA 300×200 som skala. Usikkerhed ca. ±1 cm. Billedkontrol (MediaMarkt): 21,5 cm.</t>
        </is>
      </c>
    </row>
    <row r="232">
      <c r="A232" s="2" t="inlineStr">
        <is>
          <t>LG</t>
        </is>
      </c>
      <c r="B232" s="2" t="inlineStr">
        <is>
          <t>QNED71</t>
        </is>
      </c>
      <c r="C232" s="2" t="inlineStr">
        <is>
          <t>QNED71</t>
        </is>
      </c>
      <c r="D232" s="2" t="inlineStr">
        <is>
          <t>65QNED71B6B</t>
        </is>
      </c>
      <c r="E232" s="3" t="n">
        <v>65</v>
      </c>
      <c r="F232" s="3" t="n">
        <v>2026</v>
      </c>
      <c r="G232" s="4" t="n">
        <v>83.8</v>
      </c>
      <c r="H232" s="3" t="n">
        <v>300</v>
      </c>
      <c r="I232" s="3" t="n">
        <v>200</v>
      </c>
      <c r="J232" s="4" t="n"/>
      <c r="K232" s="4">
        <f>IF(ISNUMBER(J232),J232+I232/10,"")</f>
        <v/>
      </c>
      <c r="L232" s="2" t="inlineStr">
        <is>
          <t>estimat</t>
        </is>
      </c>
      <c r="M232" s="2" t="inlineStr"/>
      <c r="N232" s="2" t="inlineStr"/>
    </row>
    <row r="233">
      <c r="A233" s="2" t="inlineStr">
        <is>
          <t>LG</t>
        </is>
      </c>
      <c r="B233" s="2" t="inlineStr">
        <is>
          <t>QNED71</t>
        </is>
      </c>
      <c r="C233" s="2" t="inlineStr">
        <is>
          <t>QNED71</t>
        </is>
      </c>
      <c r="D233" s="2" t="inlineStr">
        <is>
          <t>55QNED71B6B</t>
        </is>
      </c>
      <c r="E233" s="3" t="n">
        <v>55</v>
      </c>
      <c r="F233" s="3" t="n">
        <v>2026</v>
      </c>
      <c r="G233" s="4" t="n">
        <v>71.5</v>
      </c>
      <c r="H233" s="3" t="n">
        <v>300</v>
      </c>
      <c r="I233" s="3" t="n">
        <v>200</v>
      </c>
      <c r="J233" s="4" t="n">
        <v>21.3</v>
      </c>
      <c r="K233" s="4">
        <f>IF(ISNUMBER(J233),J233+I233/10,"")</f>
        <v/>
      </c>
      <c r="L233" s="2" t="inlineStr">
        <is>
          <t>billedmålt</t>
        </is>
      </c>
      <c r="M233" s="2" t="inlineStr">
        <is>
          <t>Which?</t>
        </is>
      </c>
      <c r="N233" s="2" t="inlineStr">
        <is>
          <t>Billedmålt på Which?-foto (lg-55qned71b6b): nederste VESA-hul 21,3 cm fra underkant, målt ud fra VESA 300×200 som skala. Usikkerhed ca. ±1 cm.</t>
        </is>
      </c>
    </row>
    <row r="234">
      <c r="A234" s="2" t="inlineStr">
        <is>
          <t>LG</t>
        </is>
      </c>
      <c r="B234" s="2" t="inlineStr">
        <is>
          <t>QNED71</t>
        </is>
      </c>
      <c r="C234" s="2" t="inlineStr">
        <is>
          <t>QNED71</t>
        </is>
      </c>
      <c r="D234" s="2" t="inlineStr">
        <is>
          <t>50QNED71B6B</t>
        </is>
      </c>
      <c r="E234" s="3" t="n">
        <v>50</v>
      </c>
      <c r="F234" s="3" t="n">
        <v>2026</v>
      </c>
      <c r="G234" s="4" t="n">
        <v>64.90000000000001</v>
      </c>
      <c r="H234" s="3" t="n">
        <v>300</v>
      </c>
      <c r="I234" s="3" t="n">
        <v>200</v>
      </c>
      <c r="J234" s="4" t="n">
        <v>21.6</v>
      </c>
      <c r="K234" s="4">
        <f>IF(ISNUMBER(J234),J234+I234/10,"")</f>
        <v/>
      </c>
      <c r="L234" s="2" t="inlineStr">
        <is>
          <t>billedmålt</t>
        </is>
      </c>
      <c r="M234" s="2" t="inlineStr">
        <is>
          <t>Which?</t>
        </is>
      </c>
      <c r="N234" s="2" t="inlineStr">
        <is>
          <t>Billedmålt på Which?-foto (lg-50qned71b6b): nederste VESA-hul 21,6 cm fra underkant, målt ud fra VESA 300×200 som skala. Usikkerhed ca. ±1 cm.</t>
        </is>
      </c>
    </row>
    <row r="235">
      <c r="A235" s="2" t="inlineStr">
        <is>
          <t>LG</t>
        </is>
      </c>
      <c r="B235" s="2" t="inlineStr">
        <is>
          <t>QNED71</t>
        </is>
      </c>
      <c r="C235" s="2" t="inlineStr">
        <is>
          <t>QNED71</t>
        </is>
      </c>
      <c r="D235" s="2" t="inlineStr">
        <is>
          <t>43QNED71B6B</t>
        </is>
      </c>
      <c r="E235" s="3" t="n">
        <v>43</v>
      </c>
      <c r="F235" s="3" t="n">
        <v>2026</v>
      </c>
      <c r="G235" s="4" t="n">
        <v>56.3</v>
      </c>
      <c r="H235" s="3" t="n">
        <v>300</v>
      </c>
      <c r="I235" s="3" t="n">
        <v>200</v>
      </c>
      <c r="J235" s="4" t="n">
        <v>21.3</v>
      </c>
      <c r="K235" s="4">
        <f>IF(ISNUMBER(J235),J235+I235/10,"")</f>
        <v/>
      </c>
      <c r="L235" s="2" t="inlineStr">
        <is>
          <t>billedmålt</t>
        </is>
      </c>
      <c r="M235" s="2" t="inlineStr">
        <is>
          <t>Which?</t>
        </is>
      </c>
      <c r="N235" s="2" t="inlineStr">
        <is>
          <t>Billedmålt på Which?-foto (lg-43qned71b6b): nederste VESA-hul 21,3 cm fra underkant, målt ud fra VESA 300×200 som skala. Usikkerhed ca. ±1 cm.</t>
        </is>
      </c>
    </row>
    <row r="236">
      <c r="A236" s="2" t="inlineStr">
        <is>
          <t>LG</t>
        </is>
      </c>
      <c r="B236" s="2" t="inlineStr">
        <is>
          <t>QNED72</t>
        </is>
      </c>
      <c r="C236" s="2" t="inlineStr">
        <is>
          <t>QNED72</t>
        </is>
      </c>
      <c r="D236" s="2" t="inlineStr">
        <is>
          <t>85QNED72B6A</t>
        </is>
      </c>
      <c r="E236" s="3" t="n">
        <v>85</v>
      </c>
      <c r="F236" s="3" t="n">
        <v>2026</v>
      </c>
      <c r="G236" s="4" t="n">
        <v>108.8</v>
      </c>
      <c r="H236" s="3" t="n">
        <v>400</v>
      </c>
      <c r="I236" s="3" t="n">
        <v>400</v>
      </c>
      <c r="J236" s="4" t="n">
        <v>11.4</v>
      </c>
      <c r="K236" s="4">
        <f>IF(ISNUMBER(J236),J236+I236/10,"")</f>
        <v/>
      </c>
      <c r="L236" s="2" t="inlineStr">
        <is>
          <t>billedmålt</t>
        </is>
      </c>
      <c r="M236" s="2" t="inlineStr">
        <is>
          <t>LG</t>
        </is>
      </c>
      <c r="N236" s="2" t="inlineStr">
        <is>
          <t>Billedmålt på LG-foto: nederste VESA-hul 11,4 cm fra underkant, målt ud fra VESA 400×400 som skala. Usikkerhed ca. ±1 cm.</t>
        </is>
      </c>
    </row>
    <row r="237">
      <c r="A237" s="2" t="inlineStr">
        <is>
          <t>LG</t>
        </is>
      </c>
      <c r="B237" s="2" t="inlineStr">
        <is>
          <t>QNED72</t>
        </is>
      </c>
      <c r="C237" s="2" t="inlineStr">
        <is>
          <t>QNED72</t>
        </is>
      </c>
      <c r="D237" s="2" t="inlineStr">
        <is>
          <t>75QNED72B6A</t>
        </is>
      </c>
      <c r="E237" s="3" t="n">
        <v>75</v>
      </c>
      <c r="F237" s="3" t="n">
        <v>2026</v>
      </c>
      <c r="G237" s="4" t="n">
        <v>96.3</v>
      </c>
      <c r="H237" s="3" t="n">
        <v>300</v>
      </c>
      <c r="I237" s="3" t="n">
        <v>300</v>
      </c>
      <c r="J237" s="4" t="n"/>
      <c r="K237" s="4">
        <f>IF(ISNUMBER(J237),J237+I237/10,"")</f>
        <v/>
      </c>
      <c r="L237" s="2" t="inlineStr">
        <is>
          <t>estimat</t>
        </is>
      </c>
      <c r="M237" s="2" t="inlineStr"/>
      <c r="N237" s="2" t="inlineStr"/>
    </row>
    <row r="238">
      <c r="A238" s="2" t="inlineStr">
        <is>
          <t>LG</t>
        </is>
      </c>
      <c r="B238" s="2" t="inlineStr">
        <is>
          <t>QNED72</t>
        </is>
      </c>
      <c r="C238" s="2" t="inlineStr">
        <is>
          <t>QNED72</t>
        </is>
      </c>
      <c r="D238" s="2" t="inlineStr">
        <is>
          <t>65QNED72B6B</t>
        </is>
      </c>
      <c r="E238" s="3" t="n">
        <v>65</v>
      </c>
      <c r="F238" s="3" t="n">
        <v>2026</v>
      </c>
      <c r="G238" s="4" t="n">
        <v>83.8</v>
      </c>
      <c r="H238" s="3" t="n">
        <v>300</v>
      </c>
      <c r="I238" s="3" t="n">
        <v>200</v>
      </c>
      <c r="J238" s="4" t="n">
        <v>21.3</v>
      </c>
      <c r="K238" s="4">
        <f>IF(ISNUMBER(J238),J238+I238/10,"")</f>
        <v/>
      </c>
      <c r="L238" s="2" t="inlineStr">
        <is>
          <t>billedmålt</t>
        </is>
      </c>
      <c r="M238" s="2" t="inlineStr">
        <is>
          <t>Which?</t>
        </is>
      </c>
      <c r="N238" s="2" t="inlineStr">
        <is>
          <t>Billedmålt på Which?-foto (lg-65qned72b6b): nederste VESA-hul 21,3 cm fra underkant, målt ud fra VESA 300×200 som skala. Usikkerhed ca. ±1 cm.</t>
        </is>
      </c>
    </row>
    <row r="239">
      <c r="A239" s="2" t="inlineStr">
        <is>
          <t>LG</t>
        </is>
      </c>
      <c r="B239" s="2" t="inlineStr">
        <is>
          <t>QNED72</t>
        </is>
      </c>
      <c r="C239" s="2" t="inlineStr">
        <is>
          <t>QNED72</t>
        </is>
      </c>
      <c r="D239" s="2" t="inlineStr">
        <is>
          <t>55QNED72B6B</t>
        </is>
      </c>
      <c r="E239" s="3" t="n">
        <v>55</v>
      </c>
      <c r="F239" s="3" t="n">
        <v>2026</v>
      </c>
      <c r="G239" s="4" t="n">
        <v>71.5</v>
      </c>
      <c r="H239" s="3" t="n">
        <v>300</v>
      </c>
      <c r="I239" s="3" t="n">
        <v>200</v>
      </c>
      <c r="J239" s="4" t="n">
        <v>21.3</v>
      </c>
      <c r="K239" s="4">
        <f>IF(ISNUMBER(J239),J239+I239/10,"")</f>
        <v/>
      </c>
      <c r="L239" s="2" t="inlineStr">
        <is>
          <t>billedmålt</t>
        </is>
      </c>
      <c r="M239" s="2" t="inlineStr">
        <is>
          <t>Which?</t>
        </is>
      </c>
      <c r="N239" s="2" t="inlineStr">
        <is>
          <t>Billedmålt på Which?-foto (lg-55qned72b6b): nederste VESA-hul 21,3 cm fra underkant, målt ud fra VESA 300×200 som skala. Usikkerhed ca. ±1 cm.</t>
        </is>
      </c>
    </row>
    <row r="240">
      <c r="A240" s="2" t="inlineStr">
        <is>
          <t>LG</t>
        </is>
      </c>
      <c r="B240" s="2" t="inlineStr">
        <is>
          <t>QNED72</t>
        </is>
      </c>
      <c r="C240" s="2" t="inlineStr">
        <is>
          <t>QNED72</t>
        </is>
      </c>
      <c r="D240" s="2" t="inlineStr">
        <is>
          <t>50QNED72B6B</t>
        </is>
      </c>
      <c r="E240" s="3" t="n">
        <v>50</v>
      </c>
      <c r="F240" s="3" t="n">
        <v>2026</v>
      </c>
      <c r="G240" s="4" t="n">
        <v>64.90000000000001</v>
      </c>
      <c r="H240" s="3" t="n">
        <v>300</v>
      </c>
      <c r="I240" s="3" t="n">
        <v>200</v>
      </c>
      <c r="J240" s="4" t="n">
        <v>21.6</v>
      </c>
      <c r="K240" s="4">
        <f>IF(ISNUMBER(J240),J240+I240/10,"")</f>
        <v/>
      </c>
      <c r="L240" s="2" t="inlineStr">
        <is>
          <t>billedmålt</t>
        </is>
      </c>
      <c r="M240" s="2" t="inlineStr">
        <is>
          <t>Which?</t>
        </is>
      </c>
      <c r="N240" s="2" t="inlineStr">
        <is>
          <t>Billedmålt på Which?-foto (lg-50qned72b6b): nederste VESA-hul 21,6 cm fra underkant, målt ud fra VESA 300×200 som skala. Usikkerhed ca. ±1 cm.</t>
        </is>
      </c>
    </row>
    <row r="241">
      <c r="A241" s="2" t="inlineStr">
        <is>
          <t>LG</t>
        </is>
      </c>
      <c r="B241" s="2" t="inlineStr">
        <is>
          <t>QNED72</t>
        </is>
      </c>
      <c r="C241" s="2" t="inlineStr">
        <is>
          <t>QNED72</t>
        </is>
      </c>
      <c r="D241" s="2" t="inlineStr">
        <is>
          <t>43QNED72B6B</t>
        </is>
      </c>
      <c r="E241" s="3" t="n">
        <v>43</v>
      </c>
      <c r="F241" s="3" t="n">
        <v>2026</v>
      </c>
      <c r="G241" s="4" t="n">
        <v>56.3</v>
      </c>
      <c r="H241" s="3" t="n">
        <v>300</v>
      </c>
      <c r="I241" s="3" t="n">
        <v>200</v>
      </c>
      <c r="J241" s="4" t="n">
        <v>21.3</v>
      </c>
      <c r="K241" s="4">
        <f>IF(ISNUMBER(J241),J241+I241/10,"")</f>
        <v/>
      </c>
      <c r="L241" s="2" t="inlineStr">
        <is>
          <t>billedmålt</t>
        </is>
      </c>
      <c r="M241" s="2" t="inlineStr">
        <is>
          <t>Which?</t>
        </is>
      </c>
      <c r="N241" s="2" t="inlineStr">
        <is>
          <t>Billedmålt på Which?-foto (lg-43qned72b6b): nederste VESA-hul 21,3 cm fra underkant, målt ud fra VESA 300×200 som skala. Usikkerhed ca. ±1 cm.</t>
        </is>
      </c>
    </row>
    <row r="242">
      <c r="A242" s="2" t="inlineStr">
        <is>
          <t>LG</t>
        </is>
      </c>
      <c r="B242" s="2" t="inlineStr">
        <is>
          <t>QNED75</t>
        </is>
      </c>
      <c r="C242" s="2" t="inlineStr">
        <is>
          <t>QNED75</t>
        </is>
      </c>
      <c r="D242" s="2" t="inlineStr">
        <is>
          <t>75QNED756RA</t>
        </is>
      </c>
      <c r="E242" s="3" t="n">
        <v>75</v>
      </c>
      <c r="F242" s="3" t="n">
        <v>2023</v>
      </c>
      <c r="G242" s="4" t="n">
        <v>96.40000000000001</v>
      </c>
      <c r="H242" s="3" t="n">
        <v>400</v>
      </c>
      <c r="I242" s="3" t="n">
        <v>400</v>
      </c>
      <c r="J242" s="4" t="n">
        <v>32.4</v>
      </c>
      <c r="K242" s="4">
        <f>IF(ISNUMBER(J242),J242+I242/10,"")</f>
        <v/>
      </c>
      <c r="L242" s="2" t="inlineStr">
        <is>
          <t>producentens mål</t>
        </is>
      </c>
      <c r="M242" s="2" t="inlineStr">
        <is>
          <t>LG-tegning 2023</t>
        </is>
      </c>
      <c r="N242" s="2" t="inlineStr">
        <is>
          <t>Hulplacering fra LG's officielle bagside-tegning 2023 (QNED76/75 75″, X1 = 324 mm). Højde og VESA fra LG's side. Billedkontrol (Icecat): 32,5 cm. Billedkontrol (LG): 32,3 cm.</t>
        </is>
      </c>
    </row>
    <row r="243">
      <c r="A243" s="2" t="inlineStr">
        <is>
          <t>LG</t>
        </is>
      </c>
      <c r="B243" s="2" t="inlineStr">
        <is>
          <t>QNED75</t>
        </is>
      </c>
      <c r="C243" s="2" t="inlineStr">
        <is>
          <t>QNED75</t>
        </is>
      </c>
      <c r="D243" s="2" t="inlineStr">
        <is>
          <t>43QNED756RA</t>
        </is>
      </c>
      <c r="E243" s="3" t="n">
        <v>43</v>
      </c>
      <c r="F243" s="3" t="n">
        <v>2023</v>
      </c>
      <c r="G243" s="4" t="n">
        <v>56.4</v>
      </c>
      <c r="H243" s="3" t="n">
        <v>200</v>
      </c>
      <c r="I243" s="3" t="n">
        <v>200</v>
      </c>
      <c r="J243" s="4" t="n">
        <v>21.3</v>
      </c>
      <c r="K243" s="4">
        <f>IF(ISNUMBER(J243),J243+I243/10,"")</f>
        <v/>
      </c>
      <c r="L243" s="2" t="inlineStr">
        <is>
          <t>producentens mål</t>
        </is>
      </c>
      <c r="M243" s="2" t="inlineStr">
        <is>
          <t>LG-tegning 2023</t>
        </is>
      </c>
      <c r="N243" s="2" t="inlineStr">
        <is>
          <t>Hulplacering fra LG's officielle bagside-tegning 2023 (QNED76/75 43″, X1 = 213 mm). Højde og VESA fra LG's side. Billedkontrol (Icecat): 21,3 cm. Billedkontrol (LG): 21,3 cm.</t>
        </is>
      </c>
    </row>
    <row r="244">
      <c r="A244" s="2" t="inlineStr">
        <is>
          <t>LG</t>
        </is>
      </c>
      <c r="B244" s="2" t="inlineStr">
        <is>
          <t>QNED75/QNED76</t>
        </is>
      </c>
      <c r="C244" s="2" t="inlineStr">
        <is>
          <t>QNED75/QNED76 (2023)</t>
        </is>
      </c>
      <c r="D244" s="2" t="inlineStr">
        <is>
          <t>LG QNED75/QNED76 65″ 2023</t>
        </is>
      </c>
      <c r="E244" s="3" t="n">
        <v>65</v>
      </c>
      <c r="F244" s="3" t="n">
        <v>2023</v>
      </c>
      <c r="G244" s="4" t="n">
        <v>83.40000000000001</v>
      </c>
      <c r="H244" s="3" t="n">
        <v>300</v>
      </c>
      <c r="I244" s="3" t="n">
        <v>300</v>
      </c>
      <c r="J244" s="4" t="n">
        <v>29.4</v>
      </c>
      <c r="K244" s="4">
        <f>IF(ISNUMBER(J244),J244+I244/10,"")</f>
        <v/>
      </c>
      <c r="L244" s="2" t="inlineStr">
        <is>
          <t>producentens mål</t>
        </is>
      </c>
      <c r="M244" s="2" t="inlineStr">
        <is>
          <t>LG-tegning 2023</t>
        </is>
      </c>
      <c r="N244" s="2" t="inlineStr">
        <is>
          <t>LG's officielle bagside-tegning 2023: X1 = 294 mm. Højden er regnet som X1 + VESA + W (ca. 1 cm usikkerhed).</t>
        </is>
      </c>
    </row>
    <row r="245">
      <c r="A245" s="2" t="inlineStr">
        <is>
          <t>LG</t>
        </is>
      </c>
      <c r="B245" s="2" t="inlineStr">
        <is>
          <t>QNED75/QNED76</t>
        </is>
      </c>
      <c r="C245" s="2" t="inlineStr">
        <is>
          <t>QNED75/QNED76 (2023)</t>
        </is>
      </c>
      <c r="D245" s="2" t="inlineStr">
        <is>
          <t>LG QNED75/QNED76 55″ 2023</t>
        </is>
      </c>
      <c r="E245" s="3" t="n">
        <v>55</v>
      </c>
      <c r="F245" s="3" t="n">
        <v>2023</v>
      </c>
      <c r="G245" s="4" t="n">
        <v>71</v>
      </c>
      <c r="H245" s="3" t="n">
        <v>300</v>
      </c>
      <c r="I245" s="3" t="n">
        <v>300</v>
      </c>
      <c r="J245" s="4" t="n">
        <v>24.8</v>
      </c>
      <c r="K245" s="4">
        <f>IF(ISNUMBER(J245),J245+I245/10,"")</f>
        <v/>
      </c>
      <c r="L245" s="2" t="inlineStr">
        <is>
          <t>producentens mål</t>
        </is>
      </c>
      <c r="M245" s="2" t="inlineStr">
        <is>
          <t>LG-tegning 2023</t>
        </is>
      </c>
      <c r="N245" s="2" t="inlineStr">
        <is>
          <t>LG's officielle bagside-tegning 2023: X1 = 248 mm. Højden er regnet som X1 + VESA + W (ca. 1 cm usikkerhed).</t>
        </is>
      </c>
    </row>
    <row r="246">
      <c r="A246" s="2" t="inlineStr">
        <is>
          <t>LG</t>
        </is>
      </c>
      <c r="B246" s="2" t="inlineStr">
        <is>
          <t>QNED75/QNED76</t>
        </is>
      </c>
      <c r="C246" s="2" t="inlineStr">
        <is>
          <t>QNED75/QNED76 (2023)</t>
        </is>
      </c>
      <c r="D246" s="2" t="inlineStr">
        <is>
          <t>LG QNED75/QNED76 50″ 2023</t>
        </is>
      </c>
      <c r="E246" s="3" t="n">
        <v>50</v>
      </c>
      <c r="F246" s="3" t="n">
        <v>2023</v>
      </c>
      <c r="G246" s="4" t="n">
        <v>64.8</v>
      </c>
      <c r="H246" s="3" t="n">
        <v>200</v>
      </c>
      <c r="I246" s="3" t="n">
        <v>200</v>
      </c>
      <c r="J246" s="4" t="n">
        <v>31</v>
      </c>
      <c r="K246" s="4">
        <f>IF(ISNUMBER(J246),J246+I246/10,"")</f>
        <v/>
      </c>
      <c r="L246" s="2" t="inlineStr">
        <is>
          <t>producentens mål</t>
        </is>
      </c>
      <c r="M246" s="2" t="inlineStr">
        <is>
          <t>LG-tegning 2023</t>
        </is>
      </c>
      <c r="N246" s="2" t="inlineStr">
        <is>
          <t>LG's officielle bagside-tegning 2023: X1 = 310 mm. Højden er regnet som X1 + VESA + W (ca. 1 cm usikkerhed).</t>
        </is>
      </c>
    </row>
    <row r="247">
      <c r="A247" s="2" t="inlineStr">
        <is>
          <t>LG</t>
        </is>
      </c>
      <c r="B247" s="2" t="inlineStr">
        <is>
          <t>QNED77</t>
        </is>
      </c>
      <c r="C247" s="2" t="inlineStr">
        <is>
          <t>QNED77</t>
        </is>
      </c>
      <c r="D247" s="2" t="inlineStr">
        <is>
          <t>65QNED776RB</t>
        </is>
      </c>
      <c r="E247" s="3" t="n">
        <v>65</v>
      </c>
      <c r="F247" s="3" t="n">
        <v>2023</v>
      </c>
      <c r="G247" s="4" t="n">
        <v>83.90000000000001</v>
      </c>
      <c r="H247" s="3" t="n">
        <v>300</v>
      </c>
      <c r="I247" s="3" t="n">
        <v>300</v>
      </c>
      <c r="J247" s="4" t="n"/>
      <c r="K247" s="4">
        <f>IF(ISNUMBER(J247),J247+I247/10,"")</f>
        <v/>
      </c>
      <c r="L247" s="2" t="inlineStr">
        <is>
          <t>estimat</t>
        </is>
      </c>
      <c r="M247" s="2" t="inlineStr"/>
      <c r="N247" s="2" t="inlineStr"/>
    </row>
    <row r="248">
      <c r="A248" s="2" t="inlineStr">
        <is>
          <t>LG</t>
        </is>
      </c>
      <c r="B248" s="2" t="inlineStr">
        <is>
          <t>QNED77</t>
        </is>
      </c>
      <c r="C248" s="2" t="inlineStr">
        <is>
          <t>QNED77</t>
        </is>
      </c>
      <c r="D248" s="2" t="inlineStr">
        <is>
          <t>43QNED776RB</t>
        </is>
      </c>
      <c r="E248" s="3" t="n">
        <v>43</v>
      </c>
      <c r="F248" s="3" t="n">
        <v>2023</v>
      </c>
      <c r="G248" s="4" t="n">
        <v>56.4</v>
      </c>
      <c r="H248" s="3" t="n">
        <v>200</v>
      </c>
      <c r="I248" s="3" t="n">
        <v>200</v>
      </c>
      <c r="J248" s="4" t="n"/>
      <c r="K248" s="4">
        <f>IF(ISNUMBER(J248),J248+I248/10,"")</f>
        <v/>
      </c>
      <c r="L248" s="2" t="inlineStr">
        <is>
          <t>estimat</t>
        </is>
      </c>
      <c r="M248" s="2" t="inlineStr"/>
      <c r="N248" s="2" t="inlineStr"/>
    </row>
    <row r="249">
      <c r="A249" s="2" t="inlineStr">
        <is>
          <t>LG</t>
        </is>
      </c>
      <c r="B249" s="2" t="inlineStr">
        <is>
          <t>QNED80</t>
        </is>
      </c>
      <c r="C249" s="2" t="inlineStr">
        <is>
          <t>QNED80</t>
        </is>
      </c>
      <c r="D249" s="2" t="inlineStr">
        <is>
          <t>86QNED80T6A</t>
        </is>
      </c>
      <c r="E249" s="3" t="n">
        <v>86</v>
      </c>
      <c r="F249" s="3" t="n">
        <v>2024</v>
      </c>
      <c r="G249" s="4" t="n">
        <v>110.8</v>
      </c>
      <c r="H249" s="3" t="n">
        <v>600</v>
      </c>
      <c r="I249" s="3" t="n">
        <v>400</v>
      </c>
      <c r="J249" s="4" t="n"/>
      <c r="K249" s="4">
        <f>IF(ISNUMBER(J249),J249+I249/10,"")</f>
        <v/>
      </c>
      <c r="L249" s="2" t="inlineStr">
        <is>
          <t>estimat</t>
        </is>
      </c>
      <c r="M249" s="2" t="inlineStr"/>
      <c r="N249" s="2" t="inlineStr"/>
    </row>
    <row r="250">
      <c r="A250" s="2" t="inlineStr">
        <is>
          <t>LG</t>
        </is>
      </c>
      <c r="B250" s="2" t="inlineStr">
        <is>
          <t>QNED80</t>
        </is>
      </c>
      <c r="C250" s="2" t="inlineStr">
        <is>
          <t>QNED80</t>
        </is>
      </c>
      <c r="D250" s="2" t="inlineStr">
        <is>
          <t>86QNED80A6A, 86QNED80A6D</t>
        </is>
      </c>
      <c r="E250" s="3" t="n">
        <v>86</v>
      </c>
      <c r="F250" s="3" t="n">
        <v>2025</v>
      </c>
      <c r="G250" s="4" t="n">
        <v>110.8</v>
      </c>
      <c r="H250" s="3" t="n">
        <v>600</v>
      </c>
      <c r="I250" s="3" t="n">
        <v>400</v>
      </c>
      <c r="J250" s="4" t="n">
        <v>26</v>
      </c>
      <c r="K250" s="4">
        <f>IF(ISNUMBER(J250),J250+I250/10,"")</f>
        <v/>
      </c>
      <c r="L250" s="2" t="inlineStr">
        <is>
          <t>billedmålt</t>
        </is>
      </c>
      <c r="M250" s="2" t="inlineStr">
        <is>
          <t>Icecat</t>
        </is>
      </c>
      <c r="N250" s="2" t="inlineStr">
        <is>
          <t>Billedmålt på Icecat-foto: nederste VESA-hul 26 cm fra underkant, målt ud fra VESA 600×400 som skala. Usikkerhed ca. ±1 cm.</t>
        </is>
      </c>
    </row>
    <row r="251">
      <c r="A251" s="2" t="inlineStr">
        <is>
          <t>LG</t>
        </is>
      </c>
      <c r="B251" s="2" t="inlineStr">
        <is>
          <t>QNED80</t>
        </is>
      </c>
      <c r="C251" s="2" t="inlineStr">
        <is>
          <t>QNED80</t>
        </is>
      </c>
      <c r="D251" s="2" t="inlineStr">
        <is>
          <t>75QNED80T6A</t>
        </is>
      </c>
      <c r="E251" s="3" t="n">
        <v>75</v>
      </c>
      <c r="F251" s="3" t="n">
        <v>2024</v>
      </c>
      <c r="G251" s="4" t="n">
        <v>96.5</v>
      </c>
      <c r="H251" s="3" t="n">
        <v>400</v>
      </c>
      <c r="I251" s="3" t="n">
        <v>300</v>
      </c>
      <c r="J251" s="4" t="n"/>
      <c r="K251" s="4">
        <f>IF(ISNUMBER(J251),J251+I251/10,"")</f>
        <v/>
      </c>
      <c r="L251" s="2" t="inlineStr">
        <is>
          <t>estimat</t>
        </is>
      </c>
      <c r="M251" s="2" t="inlineStr"/>
      <c r="N251" s="2" t="inlineStr"/>
    </row>
    <row r="252">
      <c r="A252" s="2" t="inlineStr">
        <is>
          <t>LG</t>
        </is>
      </c>
      <c r="B252" s="2" t="inlineStr">
        <is>
          <t>QNED80</t>
        </is>
      </c>
      <c r="C252" s="2" t="inlineStr">
        <is>
          <t>QNED80</t>
        </is>
      </c>
      <c r="D252" s="2" t="inlineStr">
        <is>
          <t>75QNED80A6A, 75QNED80A6D</t>
        </is>
      </c>
      <c r="E252" s="3" t="n">
        <v>75</v>
      </c>
      <c r="F252" s="3" t="n">
        <v>2025</v>
      </c>
      <c r="G252" s="4" t="n">
        <v>96.5</v>
      </c>
      <c r="H252" s="3" t="n">
        <v>400</v>
      </c>
      <c r="I252" s="3" t="n">
        <v>300</v>
      </c>
      <c r="J252" s="4" t="n">
        <v>35.7</v>
      </c>
      <c r="K252" s="4">
        <f>IF(ISNUMBER(J252),J252+I252/10,"")</f>
        <v/>
      </c>
      <c r="L252" s="2" t="inlineStr">
        <is>
          <t>billedmålt</t>
        </is>
      </c>
      <c r="M252" s="2" t="inlineStr">
        <is>
          <t>MediaMarkt</t>
        </is>
      </c>
      <c r="N252" s="2" t="inlineStr">
        <is>
          <t>Billedmålt på MediaMarkt-foto: nederste VESA-hul 35,7 cm fra underkant, målt ud fra VESA 400×300 som skala. Usikkerhed ca. ±1 cm.</t>
        </is>
      </c>
    </row>
    <row r="253">
      <c r="A253" s="2" t="inlineStr">
        <is>
          <t>LG</t>
        </is>
      </c>
      <c r="B253" s="2" t="inlineStr">
        <is>
          <t>QNED80</t>
        </is>
      </c>
      <c r="C253" s="2" t="inlineStr">
        <is>
          <t>QNED80 (2026)</t>
        </is>
      </c>
      <c r="D253" s="2" t="inlineStr">
        <is>
          <t>75QNED80B6A</t>
        </is>
      </c>
      <c r="E253" s="3" t="n">
        <v>75</v>
      </c>
      <c r="F253" s="3" t="n">
        <v>2026</v>
      </c>
      <c r="G253" s="4" t="n">
        <v>96.2</v>
      </c>
      <c r="H253" s="3" t="n">
        <v>300</v>
      </c>
      <c r="I253" s="3" t="n">
        <v>200</v>
      </c>
      <c r="J253" s="4" t="n">
        <v>20</v>
      </c>
      <c r="K253" s="4">
        <f>IF(ISNUMBER(J253),J253+I253/10,"")</f>
        <v/>
      </c>
      <c r="L253" s="2" t="inlineStr">
        <is>
          <t>billedmålt</t>
        </is>
      </c>
      <c r="M253" s="2" t="inlineStr">
        <is>
          <t>LG</t>
        </is>
      </c>
      <c r="N253" s="2" t="inlineStr">
        <is>
          <t>Billedmålt på LG-foto: nederste VESA-hul 20 cm fra underkant, målt ud fra VESA 300×200 som skala. Usikkerhed ca. ±1 cm.</t>
        </is>
      </c>
    </row>
    <row r="254">
      <c r="A254" s="2" t="inlineStr">
        <is>
          <t>LG</t>
        </is>
      </c>
      <c r="B254" s="2" t="inlineStr">
        <is>
          <t>QNED80</t>
        </is>
      </c>
      <c r="C254" s="2" t="inlineStr">
        <is>
          <t>QNED80</t>
        </is>
      </c>
      <c r="D254" s="2" t="inlineStr">
        <is>
          <t>65QNED80T6A</t>
        </is>
      </c>
      <c r="E254" s="3" t="n">
        <v>65</v>
      </c>
      <c r="F254" s="3" t="n">
        <v>2024</v>
      </c>
      <c r="G254" s="4" t="n">
        <v>84</v>
      </c>
      <c r="H254" s="3" t="n">
        <v>300</v>
      </c>
      <c r="I254" s="3" t="n">
        <v>300</v>
      </c>
      <c r="J254" s="4" t="n">
        <v>31.8</v>
      </c>
      <c r="K254" s="4">
        <f>IF(ISNUMBER(J254),J254+I254/10,"")</f>
        <v/>
      </c>
      <c r="L254" s="2" t="inlineStr">
        <is>
          <t>billedmålt</t>
        </is>
      </c>
      <c r="M254" s="2" t="inlineStr">
        <is>
          <t>LG</t>
        </is>
      </c>
      <c r="N254" s="2" t="inlineStr">
        <is>
          <t>Billedmålt på LG-foto: nederste VESA-hul 31,8 cm fra underkant, målt ud fra VESA 300×300 som skala. Usikkerhed ca. ±1 cm.</t>
        </is>
      </c>
    </row>
    <row r="255">
      <c r="A255" s="2" t="inlineStr">
        <is>
          <t>LG</t>
        </is>
      </c>
      <c r="B255" s="2" t="inlineStr">
        <is>
          <t>QNED80</t>
        </is>
      </c>
      <c r="C255" s="2" t="inlineStr">
        <is>
          <t>QNED80</t>
        </is>
      </c>
      <c r="D255" s="2" t="inlineStr">
        <is>
          <t>65QNED80A6A, 65QNED80A6D</t>
        </is>
      </c>
      <c r="E255" s="3" t="n">
        <v>65</v>
      </c>
      <c r="F255" s="3" t="n">
        <v>2025</v>
      </c>
      <c r="G255" s="4" t="n">
        <v>84</v>
      </c>
      <c r="H255" s="3" t="n">
        <v>300</v>
      </c>
      <c r="I255" s="3" t="n">
        <v>300</v>
      </c>
      <c r="J255" s="4" t="n">
        <v>31.6</v>
      </c>
      <c r="K255" s="4">
        <f>IF(ISNUMBER(J255),J255+I255/10,"")</f>
        <v/>
      </c>
      <c r="L255" s="2" t="inlineStr">
        <is>
          <t>billedmålt</t>
        </is>
      </c>
      <c r="M255" s="2" t="inlineStr">
        <is>
          <t>Which?</t>
        </is>
      </c>
      <c r="N255" s="2" t="inlineStr">
        <is>
          <t>Billedmålt på Which?-foto (lg-65qned80a6a): nederste VESA-hul 31,6 cm fra underkant, målt ud fra VESA 300×300 som skala. Usikkerhed ca. ±1 cm. Billedkontrol (MediaMarkt): 31,9 cm. Billedkontrol (Elgiganten): 31,8 cm.</t>
        </is>
      </c>
    </row>
    <row r="256">
      <c r="A256" s="2" t="inlineStr">
        <is>
          <t>LG</t>
        </is>
      </c>
      <c r="B256" s="2" t="inlineStr">
        <is>
          <t>QNED80</t>
        </is>
      </c>
      <c r="C256" s="2" t="inlineStr">
        <is>
          <t>QNED80 (2026)</t>
        </is>
      </c>
      <c r="D256" s="2" t="inlineStr">
        <is>
          <t>65QNED80B6B</t>
        </is>
      </c>
      <c r="E256" s="3" t="n">
        <v>65</v>
      </c>
      <c r="F256" s="3" t="n">
        <v>2026</v>
      </c>
      <c r="G256" s="4" t="n">
        <v>84.09999999999999</v>
      </c>
      <c r="H256" s="3" t="n">
        <v>300</v>
      </c>
      <c r="I256" s="3" t="n">
        <v>200</v>
      </c>
      <c r="J256" s="4" t="n"/>
      <c r="K256" s="4">
        <f>IF(ISNUMBER(J256),J256+I256/10,"")</f>
        <v/>
      </c>
      <c r="L256" s="2" t="inlineStr">
        <is>
          <t>estimat</t>
        </is>
      </c>
      <c r="M256" s="2" t="inlineStr"/>
      <c r="N256" s="2" t="inlineStr"/>
    </row>
    <row r="257">
      <c r="A257" s="2" t="inlineStr">
        <is>
          <t>LG</t>
        </is>
      </c>
      <c r="B257" s="2" t="inlineStr">
        <is>
          <t>QNED80</t>
        </is>
      </c>
      <c r="C257" s="2" t="inlineStr">
        <is>
          <t>QNED80</t>
        </is>
      </c>
      <c r="D257" s="2" t="inlineStr">
        <is>
          <t>55QNED80T6A</t>
        </is>
      </c>
      <c r="E257" s="3" t="n">
        <v>55</v>
      </c>
      <c r="F257" s="3" t="n">
        <v>2024</v>
      </c>
      <c r="G257" s="4" t="n">
        <v>71.59999999999999</v>
      </c>
      <c r="H257" s="3" t="n">
        <v>300</v>
      </c>
      <c r="I257" s="3" t="n">
        <v>300</v>
      </c>
      <c r="J257" s="4" t="n"/>
      <c r="K257" s="4">
        <f>IF(ISNUMBER(J257),J257+I257/10,"")</f>
        <v/>
      </c>
      <c r="L257" s="2" t="inlineStr">
        <is>
          <t>estimat</t>
        </is>
      </c>
      <c r="M257" s="2" t="inlineStr"/>
      <c r="N257" s="2" t="inlineStr"/>
    </row>
    <row r="258">
      <c r="A258" s="2" t="inlineStr">
        <is>
          <t>LG</t>
        </is>
      </c>
      <c r="B258" s="2" t="inlineStr">
        <is>
          <t>QNED80</t>
        </is>
      </c>
      <c r="C258" s="2" t="inlineStr">
        <is>
          <t>QNED80</t>
        </is>
      </c>
      <c r="D258" s="2" t="inlineStr">
        <is>
          <t>55QNED80A6A</t>
        </is>
      </c>
      <c r="E258" s="3" t="n">
        <v>55</v>
      </c>
      <c r="F258" s="3" t="n">
        <v>2025</v>
      </c>
      <c r="G258" s="4" t="n">
        <v>71.59999999999999</v>
      </c>
      <c r="H258" s="3" t="n">
        <v>300</v>
      </c>
      <c r="I258" s="3" t="n">
        <v>300</v>
      </c>
      <c r="J258" s="4" t="n">
        <v>28.3</v>
      </c>
      <c r="K258" s="4">
        <f>IF(ISNUMBER(J258),J258+I258/10,"")</f>
        <v/>
      </c>
      <c r="L258" s="2" t="inlineStr">
        <is>
          <t>billedmålt</t>
        </is>
      </c>
      <c r="M258" s="2" t="inlineStr">
        <is>
          <t>Which?</t>
        </is>
      </c>
      <c r="N258" s="2" t="inlineStr">
        <is>
          <t>Billedmålt på Which?-foto (lg-55qned80a6a): nederste VESA-hul 28,3 cm fra underkant, målt ud fra VESA 300×300 som skala. Usikkerhed ca. ±1 cm. Billedkontrol (MediaMarkt): 28,3 cm. Billedkontrol (Elgiganten): 28,5 cm.</t>
        </is>
      </c>
    </row>
    <row r="259">
      <c r="A259" s="2" t="inlineStr">
        <is>
          <t>LG</t>
        </is>
      </c>
      <c r="B259" s="2" t="inlineStr">
        <is>
          <t>QNED80</t>
        </is>
      </c>
      <c r="C259" s="2" t="inlineStr">
        <is>
          <t>QNED80 (2026)</t>
        </is>
      </c>
      <c r="D259" s="2" t="inlineStr">
        <is>
          <t>55QNED80B6B</t>
        </is>
      </c>
      <c r="E259" s="3" t="n">
        <v>55</v>
      </c>
      <c r="F259" s="3" t="n">
        <v>2026</v>
      </c>
      <c r="G259" s="4" t="n">
        <v>71.8</v>
      </c>
      <c r="H259" s="3" t="n">
        <v>300</v>
      </c>
      <c r="I259" s="3" t="n">
        <v>200</v>
      </c>
      <c r="J259" s="4" t="n"/>
      <c r="K259" s="4">
        <f>IF(ISNUMBER(J259),J259+I259/10,"")</f>
        <v/>
      </c>
      <c r="L259" s="2" t="inlineStr">
        <is>
          <t>estimat</t>
        </is>
      </c>
      <c r="M259" s="2" t="inlineStr"/>
      <c r="N259" s="2" t="inlineStr"/>
    </row>
    <row r="260">
      <c r="A260" s="2" t="inlineStr">
        <is>
          <t>LG</t>
        </is>
      </c>
      <c r="B260" s="2" t="inlineStr">
        <is>
          <t>QNED80</t>
        </is>
      </c>
      <c r="C260" s="2" t="inlineStr">
        <is>
          <t>QNED80</t>
        </is>
      </c>
      <c r="D260" s="2" t="inlineStr">
        <is>
          <t>50QNED80T6A</t>
        </is>
      </c>
      <c r="E260" s="3" t="n">
        <v>50</v>
      </c>
      <c r="F260" s="3" t="n">
        <v>2024</v>
      </c>
      <c r="G260" s="4" t="n">
        <v>65.2</v>
      </c>
      <c r="H260" s="3" t="n">
        <v>200</v>
      </c>
      <c r="I260" s="3" t="n">
        <v>200</v>
      </c>
      <c r="J260" s="4" t="n">
        <v>30.8</v>
      </c>
      <c r="K260" s="4">
        <f>IF(ISNUMBER(J260),J260+I260/10,"")</f>
        <v/>
      </c>
      <c r="L260" s="2" t="inlineStr">
        <is>
          <t>billedmålt</t>
        </is>
      </c>
      <c r="M260" s="2" t="inlineStr">
        <is>
          <t>LG</t>
        </is>
      </c>
      <c r="N260" s="2" t="inlineStr">
        <is>
          <t>Billedmålt på LG-foto: nederste VESA-hul 30,8 cm fra underkant, målt ud fra VESA 200×200 som skala. Usikkerhed ca. ±1 cm.</t>
        </is>
      </c>
    </row>
    <row r="261">
      <c r="A261" s="2" t="inlineStr">
        <is>
          <t>LG</t>
        </is>
      </c>
      <c r="B261" s="2" t="inlineStr">
        <is>
          <t>QNED80</t>
        </is>
      </c>
      <c r="C261" s="2" t="inlineStr">
        <is>
          <t>QNED80</t>
        </is>
      </c>
      <c r="D261" s="2" t="inlineStr">
        <is>
          <t>50QNED80A6A</t>
        </is>
      </c>
      <c r="E261" s="3" t="n">
        <v>50</v>
      </c>
      <c r="F261" s="3" t="n">
        <v>2025</v>
      </c>
      <c r="G261" s="4" t="n">
        <v>65.2</v>
      </c>
      <c r="H261" s="3" t="n">
        <v>200</v>
      </c>
      <c r="I261" s="3" t="n">
        <v>200</v>
      </c>
      <c r="J261" s="4" t="n">
        <v>30.7</v>
      </c>
      <c r="K261" s="4">
        <f>IF(ISNUMBER(J261),J261+I261/10,"")</f>
        <v/>
      </c>
      <c r="L261" s="2" t="inlineStr">
        <is>
          <t>billedmålt</t>
        </is>
      </c>
      <c r="M261" s="2" t="inlineStr">
        <is>
          <t>Which?</t>
        </is>
      </c>
      <c r="N261" s="2" t="inlineStr">
        <is>
          <t>Billedmålt på Which?-foto (lg-50qned80a6a): nederste VESA-hul 30,7 cm fra underkant, målt ud fra VESA 200×200 som skala. Usikkerhed ca. ±1 cm. Billedkontrol (MediaMarkt): 30,8 cm.</t>
        </is>
      </c>
    </row>
    <row r="262">
      <c r="A262" s="2" t="inlineStr">
        <is>
          <t>LG</t>
        </is>
      </c>
      <c r="B262" s="2" t="inlineStr">
        <is>
          <t>QNED80</t>
        </is>
      </c>
      <c r="C262" s="2" t="inlineStr">
        <is>
          <t>QNED80 (2026)</t>
        </is>
      </c>
      <c r="D262" s="2" t="inlineStr">
        <is>
          <t>50QNED80B6B</t>
        </is>
      </c>
      <c r="E262" s="3" t="n">
        <v>50</v>
      </c>
      <c r="F262" s="3" t="n">
        <v>2026</v>
      </c>
      <c r="G262" s="4" t="n">
        <v>65.40000000000001</v>
      </c>
      <c r="H262" s="3" t="n">
        <v>200</v>
      </c>
      <c r="I262" s="3" t="n">
        <v>200</v>
      </c>
      <c r="J262" s="4" t="n"/>
      <c r="K262" s="4">
        <f>IF(ISNUMBER(J262),J262+I262/10,"")</f>
        <v/>
      </c>
      <c r="L262" s="2" t="inlineStr">
        <is>
          <t>estimat</t>
        </is>
      </c>
      <c r="M262" s="2" t="inlineStr"/>
      <c r="N262" s="2" t="inlineStr"/>
    </row>
    <row r="263">
      <c r="A263" s="2" t="inlineStr">
        <is>
          <t>LG</t>
        </is>
      </c>
      <c r="B263" s="2" t="inlineStr">
        <is>
          <t>QNED80</t>
        </is>
      </c>
      <c r="C263" s="2" t="inlineStr">
        <is>
          <t>QNED80</t>
        </is>
      </c>
      <c r="D263" s="2" t="inlineStr">
        <is>
          <t>43QNED80T6A</t>
        </is>
      </c>
      <c r="E263" s="3" t="n">
        <v>43</v>
      </c>
      <c r="F263" s="3" t="n">
        <v>2024</v>
      </c>
      <c r="G263" s="4" t="n">
        <v>56.5</v>
      </c>
      <c r="H263" s="3" t="n">
        <v>200</v>
      </c>
      <c r="I263" s="3" t="n">
        <v>200</v>
      </c>
      <c r="J263" s="4" t="n">
        <v>20.9</v>
      </c>
      <c r="K263" s="4">
        <f>IF(ISNUMBER(J263),J263+I263/10,"")</f>
        <v/>
      </c>
      <c r="L263" s="2" t="inlineStr">
        <is>
          <t>billedmålt</t>
        </is>
      </c>
      <c r="M263" s="2" t="inlineStr">
        <is>
          <t>LG</t>
        </is>
      </c>
      <c r="N263" s="2" t="inlineStr">
        <is>
          <t>Billedmålt på LG-foto: nederste VESA-hul 20,9 cm fra underkant, målt ud fra VESA 200×200 som skala. Usikkerhed ca. ±1 cm.</t>
        </is>
      </c>
    </row>
    <row r="264">
      <c r="A264" s="2" t="inlineStr">
        <is>
          <t>LG</t>
        </is>
      </c>
      <c r="B264" s="2" t="inlineStr">
        <is>
          <t>QNED80</t>
        </is>
      </c>
      <c r="C264" s="2" t="inlineStr">
        <is>
          <t>QNED80</t>
        </is>
      </c>
      <c r="D264" s="2" t="inlineStr">
        <is>
          <t>43QNED80A6A, 43QNED80A6B</t>
        </is>
      </c>
      <c r="E264" s="3" t="n">
        <v>43</v>
      </c>
      <c r="F264" s="3" t="n">
        <v>2025</v>
      </c>
      <c r="G264" s="4" t="n">
        <v>56.5</v>
      </c>
      <c r="H264" s="3" t="n">
        <v>200</v>
      </c>
      <c r="I264" s="3" t="n">
        <v>200</v>
      </c>
      <c r="J264" s="4" t="n">
        <v>21.1</v>
      </c>
      <c r="K264" s="4">
        <f>IF(ISNUMBER(J264),J264+I264/10,"")</f>
        <v/>
      </c>
      <c r="L264" s="2" t="inlineStr">
        <is>
          <t>billedmålt</t>
        </is>
      </c>
      <c r="M264" s="2" t="inlineStr">
        <is>
          <t>Which?</t>
        </is>
      </c>
      <c r="N264" s="2" t="inlineStr">
        <is>
          <t>Billedmålt på Which?-foto (lg-43qned80a6a): nederste VESA-hul 21,1 cm fra underkant, målt ud fra VESA 200×200 som skala. Usikkerhed ca. ±1 cm. Billedkontrol (MediaMarkt): 21 cm. Billedkontrol (Elgiganten): 21,1 cm.</t>
        </is>
      </c>
    </row>
    <row r="265">
      <c r="A265" s="2" t="inlineStr">
        <is>
          <t>LG</t>
        </is>
      </c>
      <c r="B265" s="2" t="inlineStr">
        <is>
          <t>QNED80</t>
        </is>
      </c>
      <c r="C265" s="2" t="inlineStr">
        <is>
          <t>QNED80 (2026)</t>
        </is>
      </c>
      <c r="D265" s="2" t="inlineStr">
        <is>
          <t>43QNED80B6B</t>
        </is>
      </c>
      <c r="E265" s="3" t="n">
        <v>43</v>
      </c>
      <c r="F265" s="3" t="n">
        <v>2026</v>
      </c>
      <c r="G265" s="4" t="n">
        <v>56.7</v>
      </c>
      <c r="H265" s="3" t="n">
        <v>200</v>
      </c>
      <c r="I265" s="3" t="n">
        <v>200</v>
      </c>
      <c r="J265" s="4" t="n"/>
      <c r="K265" s="4">
        <f>IF(ISNUMBER(J265),J265+I265/10,"")</f>
        <v/>
      </c>
      <c r="L265" s="2" t="inlineStr">
        <is>
          <t>estimat</t>
        </is>
      </c>
      <c r="M265" s="2" t="inlineStr"/>
      <c r="N265" s="2" t="inlineStr"/>
    </row>
    <row r="266">
      <c r="A266" s="2" t="inlineStr">
        <is>
          <t>LG</t>
        </is>
      </c>
      <c r="B266" s="2" t="inlineStr">
        <is>
          <t>QNED80/QNED81/QNED82</t>
        </is>
      </c>
      <c r="C266" s="2" t="inlineStr">
        <is>
          <t>QNED80/QNED81/QNED82 (2023)</t>
        </is>
      </c>
      <c r="D266" s="2" t="inlineStr">
        <is>
          <t>LG QNED80/QNED81/QNED82 65″ 2023</t>
        </is>
      </c>
      <c r="E266" s="3" t="n">
        <v>65</v>
      </c>
      <c r="F266" s="3" t="n">
        <v>2023</v>
      </c>
      <c r="G266" s="4" t="n">
        <v>83.40000000000001</v>
      </c>
      <c r="H266" s="3" t="n">
        <v>300</v>
      </c>
      <c r="I266" s="3" t="n">
        <v>300</v>
      </c>
      <c r="J266" s="4" t="n">
        <v>31.7</v>
      </c>
      <c r="K266" s="4">
        <f>IF(ISNUMBER(J266),J266+I266/10,"")</f>
        <v/>
      </c>
      <c r="L266" s="2" t="inlineStr">
        <is>
          <t>producentens mål</t>
        </is>
      </c>
      <c r="M266" s="2" t="inlineStr">
        <is>
          <t>LG-tegning 2023</t>
        </is>
      </c>
      <c r="N266" s="2" t="inlineStr">
        <is>
          <t>LG's officielle bagside-tegning 2023: X1 = 317 mm. Højden er regnet som X1 + VESA + W (ca. 1 cm usikkerhed).</t>
        </is>
      </c>
    </row>
    <row r="267">
      <c r="A267" s="2" t="inlineStr">
        <is>
          <t>LG</t>
        </is>
      </c>
      <c r="B267" s="2" t="inlineStr">
        <is>
          <t>QNED80/QNED81/QNED82</t>
        </is>
      </c>
      <c r="C267" s="2" t="inlineStr">
        <is>
          <t>QNED80/QNED81/QNED82 (2023)</t>
        </is>
      </c>
      <c r="D267" s="2" t="inlineStr">
        <is>
          <t>LG QNED80/QNED81/QNED82 55″ 2023</t>
        </is>
      </c>
      <c r="E267" s="3" t="n">
        <v>55</v>
      </c>
      <c r="F267" s="3" t="n">
        <v>2023</v>
      </c>
      <c r="G267" s="4" t="n">
        <v>70.8</v>
      </c>
      <c r="H267" s="3" t="n">
        <v>300</v>
      </c>
      <c r="I267" s="3" t="n">
        <v>300</v>
      </c>
      <c r="J267" s="4" t="n">
        <v>28.2</v>
      </c>
      <c r="K267" s="4">
        <f>IF(ISNUMBER(J267),J267+I267/10,"")</f>
        <v/>
      </c>
      <c r="L267" s="2" t="inlineStr">
        <is>
          <t>producentens mål</t>
        </is>
      </c>
      <c r="M267" s="2" t="inlineStr">
        <is>
          <t>LG-tegning 2023</t>
        </is>
      </c>
      <c r="N267" s="2" t="inlineStr">
        <is>
          <t>LG's officielle bagside-tegning 2023: X1 = 282 mm. Højden er regnet som X1 + VESA + W (ca. 1 cm usikkerhed).</t>
        </is>
      </c>
    </row>
    <row r="268">
      <c r="A268" s="2" t="inlineStr">
        <is>
          <t>LG</t>
        </is>
      </c>
      <c r="B268" s="2" t="inlineStr">
        <is>
          <t>QNED80/QNED81/QNED82</t>
        </is>
      </c>
      <c r="C268" s="2" t="inlineStr">
        <is>
          <t>QNED80/QNED81/QNED82 (2023)</t>
        </is>
      </c>
      <c r="D268" s="2" t="inlineStr">
        <is>
          <t>LG QNED80/QNED81/QNED82 50″ 2023</t>
        </is>
      </c>
      <c r="E268" s="3" t="n">
        <v>50</v>
      </c>
      <c r="F268" s="3" t="n">
        <v>2023</v>
      </c>
      <c r="G268" s="4" t="n">
        <v>64.7</v>
      </c>
      <c r="H268" s="3" t="n">
        <v>200</v>
      </c>
      <c r="I268" s="3" t="n">
        <v>200</v>
      </c>
      <c r="J268" s="4" t="n">
        <v>30.8</v>
      </c>
      <c r="K268" s="4">
        <f>IF(ISNUMBER(J268),J268+I268/10,"")</f>
        <v/>
      </c>
      <c r="L268" s="2" t="inlineStr">
        <is>
          <t>producentens mål</t>
        </is>
      </c>
      <c r="M268" s="2" t="inlineStr">
        <is>
          <t>LG-tegning 2023</t>
        </is>
      </c>
      <c r="N268" s="2" t="inlineStr">
        <is>
          <t>LG's officielle bagside-tegning 2023: X1 = 308 mm. Højden er regnet som X1 + VESA + W (ca. 1 cm usikkerhed).</t>
        </is>
      </c>
    </row>
    <row r="269">
      <c r="A269" s="2" t="inlineStr">
        <is>
          <t>LG</t>
        </is>
      </c>
      <c r="B269" s="2" t="inlineStr">
        <is>
          <t>QNED81</t>
        </is>
      </c>
      <c r="C269" s="2" t="inlineStr">
        <is>
          <t>QNED81</t>
        </is>
      </c>
      <c r="D269" s="2" t="inlineStr">
        <is>
          <t>86QNED816QA, 86QNED819QA</t>
        </is>
      </c>
      <c r="E269" s="3" t="n">
        <v>86</v>
      </c>
      <c r="F269" s="3" t="n">
        <v>2022</v>
      </c>
      <c r="G269" s="4" t="n">
        <v>110.5</v>
      </c>
      <c r="H269" s="3" t="n">
        <v>600</v>
      </c>
      <c r="I269" s="3" t="n">
        <v>400</v>
      </c>
      <c r="J269" s="4" t="n"/>
      <c r="K269" s="4">
        <f>IF(ISNUMBER(J269),J269+I269/10,"")</f>
        <v/>
      </c>
      <c r="L269" s="2" t="inlineStr">
        <is>
          <t>estimat</t>
        </is>
      </c>
      <c r="M269" s="2" t="inlineStr"/>
      <c r="N269" s="2" t="inlineStr"/>
    </row>
    <row r="270">
      <c r="A270" s="2" t="inlineStr">
        <is>
          <t>LG</t>
        </is>
      </c>
      <c r="B270" s="2" t="inlineStr">
        <is>
          <t>QNED81</t>
        </is>
      </c>
      <c r="C270" s="2" t="inlineStr">
        <is>
          <t>QNED81</t>
        </is>
      </c>
      <c r="D270" s="2" t="inlineStr">
        <is>
          <t>86QNED816RE</t>
        </is>
      </c>
      <c r="E270" s="3" t="n">
        <v>86</v>
      </c>
      <c r="F270" s="3" t="n">
        <v>2023</v>
      </c>
      <c r="G270" s="4" t="n">
        <v>110.5</v>
      </c>
      <c r="H270" s="3" t="n">
        <v>600</v>
      </c>
      <c r="I270" s="3" t="n">
        <v>400</v>
      </c>
      <c r="J270" s="4" t="n">
        <v>25.8</v>
      </c>
      <c r="K270" s="4">
        <f>IF(ISNUMBER(J270),J270+I270/10,"")</f>
        <v/>
      </c>
      <c r="L270" s="2" t="inlineStr">
        <is>
          <t>producentens mål</t>
        </is>
      </c>
      <c r="M270" s="2" t="inlineStr">
        <is>
          <t>LG-tegning 2023</t>
        </is>
      </c>
      <c r="N270" s="2" t="inlineStr">
        <is>
          <t>Hulplacering fra LG's officielle bagside-tegning 2023 (QNED82/81/80 86″, X1 = 258 mm). Højde og VESA fra LG's side. Billedkontrol (LG): 25,9 cm.</t>
        </is>
      </c>
    </row>
    <row r="271">
      <c r="A271" s="2" t="inlineStr">
        <is>
          <t>LG</t>
        </is>
      </c>
      <c r="B271" s="2" t="inlineStr">
        <is>
          <t>QNED81</t>
        </is>
      </c>
      <c r="C271" s="2" t="inlineStr">
        <is>
          <t>QNED81</t>
        </is>
      </c>
      <c r="D271" s="2" t="inlineStr">
        <is>
          <t>75QNED816QA, 75QNED819QA</t>
        </is>
      </c>
      <c r="E271" s="3" t="n">
        <v>75</v>
      </c>
      <c r="F271" s="3" t="n">
        <v>2022</v>
      </c>
      <c r="G271" s="4" t="n">
        <v>96.40000000000001</v>
      </c>
      <c r="H271" s="3" t="n">
        <v>400</v>
      </c>
      <c r="I271" s="3" t="n">
        <v>400</v>
      </c>
      <c r="J271" s="4" t="n"/>
      <c r="K271" s="4">
        <f>IF(ISNUMBER(J271),J271+I271/10,"")</f>
        <v/>
      </c>
      <c r="L271" s="2" t="inlineStr">
        <is>
          <t>estimat</t>
        </is>
      </c>
      <c r="M271" s="2" t="inlineStr"/>
      <c r="N271" s="2" t="inlineStr"/>
    </row>
    <row r="272">
      <c r="A272" s="2" t="inlineStr">
        <is>
          <t>LG</t>
        </is>
      </c>
      <c r="B272" s="2" t="inlineStr">
        <is>
          <t>QNED81</t>
        </is>
      </c>
      <c r="C272" s="2" t="inlineStr">
        <is>
          <t>QNED81</t>
        </is>
      </c>
      <c r="D272" s="2" t="inlineStr">
        <is>
          <t>75QNED816RE, 75QNED816RE1</t>
        </is>
      </c>
      <c r="E272" s="3" t="n">
        <v>75</v>
      </c>
      <c r="F272" s="3" t="n">
        <v>2023</v>
      </c>
      <c r="G272" s="4" t="n">
        <v>96.40000000000001</v>
      </c>
      <c r="H272" s="3" t="n">
        <v>400</v>
      </c>
      <c r="I272" s="3" t="n">
        <v>300</v>
      </c>
      <c r="J272" s="4" t="n">
        <v>36.1</v>
      </c>
      <c r="K272" s="4">
        <f>IF(ISNUMBER(J272),J272+I272/10,"")</f>
        <v/>
      </c>
      <c r="L272" s="2" t="inlineStr">
        <is>
          <t>producentens mål</t>
        </is>
      </c>
      <c r="M272" s="2" t="inlineStr">
        <is>
          <t>LG-tegning 2023</t>
        </is>
      </c>
      <c r="N272" s="2" t="inlineStr">
        <is>
          <t>LG's officielle bagside-tegning 2023 (QNED82/81/80 75″): VESA 400×300, nederste hul (X1) 36,1 cm fra underkant.</t>
        </is>
      </c>
    </row>
    <row r="273">
      <c r="A273" s="2" t="inlineStr">
        <is>
          <t>LG</t>
        </is>
      </c>
      <c r="B273" s="2" t="inlineStr">
        <is>
          <t>QNED81</t>
        </is>
      </c>
      <c r="C273" s="2" t="inlineStr">
        <is>
          <t>QNED81 (2026)</t>
        </is>
      </c>
      <c r="D273" s="2" t="inlineStr">
        <is>
          <t>75QNED81B6A</t>
        </is>
      </c>
      <c r="E273" s="3" t="n">
        <v>75</v>
      </c>
      <c r="F273" s="3" t="n">
        <v>2026</v>
      </c>
      <c r="G273" s="4" t="n">
        <v>96.2</v>
      </c>
      <c r="H273" s="3" t="n">
        <v>300</v>
      </c>
      <c r="I273" s="3" t="n">
        <v>200</v>
      </c>
      <c r="J273" s="4" t="n"/>
      <c r="K273" s="4">
        <f>IF(ISNUMBER(J273),J273+I273/10,"")</f>
        <v/>
      </c>
      <c r="L273" s="2" t="inlineStr">
        <is>
          <t>estimat</t>
        </is>
      </c>
      <c r="M273" s="2" t="inlineStr"/>
      <c r="N273" s="2" t="inlineStr"/>
    </row>
    <row r="274">
      <c r="A274" s="2" t="inlineStr">
        <is>
          <t>LG</t>
        </is>
      </c>
      <c r="B274" s="2" t="inlineStr">
        <is>
          <t>QNED81</t>
        </is>
      </c>
      <c r="C274" s="2" t="inlineStr">
        <is>
          <t>QNED81 (2026)</t>
        </is>
      </c>
      <c r="D274" s="2" t="inlineStr">
        <is>
          <t>65QNED81B6A</t>
        </is>
      </c>
      <c r="E274" s="3" t="n">
        <v>65</v>
      </c>
      <c r="F274" s="3" t="n">
        <v>2026</v>
      </c>
      <c r="G274" s="4" t="n">
        <v>84.09999999999999</v>
      </c>
      <c r="H274" s="3" t="n">
        <v>300</v>
      </c>
      <c r="I274" s="3" t="n">
        <v>200</v>
      </c>
      <c r="J274" s="4" t="n"/>
      <c r="K274" s="4">
        <f>IF(ISNUMBER(J274),J274+I274/10,"")</f>
        <v/>
      </c>
      <c r="L274" s="2" t="inlineStr">
        <is>
          <t>estimat</t>
        </is>
      </c>
      <c r="M274" s="2" t="inlineStr"/>
      <c r="N274" s="2" t="inlineStr"/>
    </row>
    <row r="275">
      <c r="A275" s="2" t="inlineStr">
        <is>
          <t>LG</t>
        </is>
      </c>
      <c r="B275" s="2" t="inlineStr">
        <is>
          <t>QNED81</t>
        </is>
      </c>
      <c r="C275" s="2" t="inlineStr">
        <is>
          <t>QNED81</t>
        </is>
      </c>
      <c r="D275" s="2" t="inlineStr">
        <is>
          <t>55QNED816QA, 55QNED813QA, 55QNED819QA</t>
        </is>
      </c>
      <c r="E275" s="3" t="n">
        <v>55</v>
      </c>
      <c r="F275" s="3" t="n">
        <v>2022</v>
      </c>
      <c r="G275" s="4" t="n">
        <v>71.59999999999999</v>
      </c>
      <c r="H275" s="3" t="n">
        <v>300</v>
      </c>
      <c r="I275" s="3" t="n">
        <v>300</v>
      </c>
      <c r="J275" s="4" t="n">
        <v>24.5</v>
      </c>
      <c r="K275" s="4">
        <f>IF(ISNUMBER(J275),J275+I275/10,"")</f>
        <v/>
      </c>
      <c r="L275" s="2" t="inlineStr">
        <is>
          <t>billedmålt</t>
        </is>
      </c>
      <c r="M275" s="2" t="inlineStr">
        <is>
          <t>LG</t>
        </is>
      </c>
      <c r="N275" s="2" t="inlineStr">
        <is>
          <t>Billedmålt på LG-foto: nederste VESA-hul 24,5 cm fra underkant, målt ud fra VESA 300×300 som skala. Usikkerhed ca. ±1 cm.</t>
        </is>
      </c>
    </row>
    <row r="276">
      <c r="A276" s="2" t="inlineStr">
        <is>
          <t>LG</t>
        </is>
      </c>
      <c r="B276" s="2" t="inlineStr">
        <is>
          <t>QNED81</t>
        </is>
      </c>
      <c r="C276" s="2" t="inlineStr">
        <is>
          <t>QNED81 (2026)</t>
        </is>
      </c>
      <c r="D276" s="2" t="inlineStr">
        <is>
          <t>55QNED81B6A</t>
        </is>
      </c>
      <c r="E276" s="3" t="n">
        <v>55</v>
      </c>
      <c r="F276" s="3" t="n">
        <v>2026</v>
      </c>
      <c r="G276" s="4" t="n">
        <v>71.8</v>
      </c>
      <c r="H276" s="3" t="n">
        <v>300</v>
      </c>
      <c r="I276" s="3" t="n">
        <v>200</v>
      </c>
      <c r="J276" s="4" t="n"/>
      <c r="K276" s="4">
        <f>IF(ISNUMBER(J276),J276+I276/10,"")</f>
        <v/>
      </c>
      <c r="L276" s="2" t="inlineStr">
        <is>
          <t>estimat</t>
        </is>
      </c>
      <c r="M276" s="2" t="inlineStr"/>
      <c r="N276" s="2" t="inlineStr"/>
    </row>
    <row r="277">
      <c r="A277" s="2" t="inlineStr">
        <is>
          <t>LG</t>
        </is>
      </c>
      <c r="B277" s="2" t="inlineStr">
        <is>
          <t>QNED81</t>
        </is>
      </c>
      <c r="C277" s="2" t="inlineStr">
        <is>
          <t>QNED81</t>
        </is>
      </c>
      <c r="D277" s="2" t="inlineStr">
        <is>
          <t>50QNED816QA, 50QNED813QA, 50QNED819QA</t>
        </is>
      </c>
      <c r="E277" s="3" t="n">
        <v>50</v>
      </c>
      <c r="F277" s="3" t="n">
        <v>2022</v>
      </c>
      <c r="G277" s="4" t="n">
        <v>65.3</v>
      </c>
      <c r="H277" s="3" t="n">
        <v>200</v>
      </c>
      <c r="I277" s="3" t="n">
        <v>200</v>
      </c>
      <c r="J277" s="4" t="n"/>
      <c r="K277" s="4">
        <f>IF(ISNUMBER(J277),J277+I277/10,"")</f>
        <v/>
      </c>
      <c r="L277" s="2" t="inlineStr">
        <is>
          <t>estimat</t>
        </is>
      </c>
      <c r="M277" s="2" t="inlineStr"/>
      <c r="N277" s="2" t="inlineStr"/>
    </row>
    <row r="278">
      <c r="A278" s="2" t="inlineStr">
        <is>
          <t>LG</t>
        </is>
      </c>
      <c r="B278" s="2" t="inlineStr">
        <is>
          <t>QNED81</t>
        </is>
      </c>
      <c r="C278" s="2" t="inlineStr">
        <is>
          <t>QNED81 (2026)</t>
        </is>
      </c>
      <c r="D278" s="2" t="inlineStr">
        <is>
          <t>50QNED81B6C</t>
        </is>
      </c>
      <c r="E278" s="3" t="n">
        <v>50</v>
      </c>
      <c r="F278" s="3" t="n">
        <v>2026</v>
      </c>
      <c r="G278" s="4" t="n">
        <v>65.40000000000001</v>
      </c>
      <c r="H278" s="3" t="n">
        <v>200</v>
      </c>
      <c r="I278" s="3" t="n">
        <v>200</v>
      </c>
      <c r="J278" s="4" t="n"/>
      <c r="K278" s="4">
        <f>IF(ISNUMBER(J278),J278+I278/10,"")</f>
        <v/>
      </c>
      <c r="L278" s="2" t="inlineStr">
        <is>
          <t>estimat</t>
        </is>
      </c>
      <c r="M278" s="2" t="inlineStr"/>
      <c r="N278" s="2" t="inlineStr"/>
    </row>
    <row r="279">
      <c r="A279" s="2" t="inlineStr">
        <is>
          <t>LG</t>
        </is>
      </c>
      <c r="B279" s="2" t="inlineStr">
        <is>
          <t>QNED81</t>
        </is>
      </c>
      <c r="C279" s="2" t="inlineStr">
        <is>
          <t>QNED81 (2026)</t>
        </is>
      </c>
      <c r="D279" s="2" t="inlineStr">
        <is>
          <t>43QNED81B6C</t>
        </is>
      </c>
      <c r="E279" s="3" t="n">
        <v>43</v>
      </c>
      <c r="F279" s="3" t="n">
        <v>2026</v>
      </c>
      <c r="G279" s="4" t="n">
        <v>56.7</v>
      </c>
      <c r="H279" s="3" t="n">
        <v>200</v>
      </c>
      <c r="I279" s="3" t="n">
        <v>200</v>
      </c>
      <c r="J279" s="4" t="n"/>
      <c r="K279" s="4">
        <f>IF(ISNUMBER(J279),J279+I279/10,"")</f>
        <v/>
      </c>
      <c r="L279" s="2" t="inlineStr">
        <is>
          <t>estimat</t>
        </is>
      </c>
      <c r="M279" s="2" t="inlineStr"/>
      <c r="N279" s="2" t="inlineStr"/>
    </row>
    <row r="280">
      <c r="A280" s="2" t="inlineStr">
        <is>
          <t>LG</t>
        </is>
      </c>
      <c r="B280" s="2" t="inlineStr">
        <is>
          <t>QNED82</t>
        </is>
      </c>
      <c r="C280" s="2" t="inlineStr">
        <is>
          <t>QNED82</t>
        </is>
      </c>
      <c r="D280" s="2" t="inlineStr">
        <is>
          <t>86QNED82A6B, 86QNED82A6E</t>
        </is>
      </c>
      <c r="E280" s="3" t="n">
        <v>86</v>
      </c>
      <c r="F280" s="3" t="n">
        <v>2026</v>
      </c>
      <c r="G280" s="4" t="n">
        <v>110.8</v>
      </c>
      <c r="H280" s="3" t="n">
        <v>600</v>
      </c>
      <c r="I280" s="3" t="n">
        <v>400</v>
      </c>
      <c r="J280" s="4" t="n">
        <v>14.6</v>
      </c>
      <c r="K280" s="4">
        <f>IF(ISNUMBER(J280),J280+I280/10,"")</f>
        <v/>
      </c>
      <c r="L280" s="2" t="inlineStr">
        <is>
          <t>billedmålt</t>
        </is>
      </c>
      <c r="M280" s="2" t="inlineStr">
        <is>
          <t>Icecat</t>
        </is>
      </c>
      <c r="N280" s="2" t="inlineStr">
        <is>
          <t>Billedmålt på Icecat-foto: nederste VESA-hul 14,6 cm fra underkant, målt ud fra VESA 600×400 som skala. Usikkerhed ca. ±1 cm. Billedkontrol (LG): 14,7 cm.</t>
        </is>
      </c>
    </row>
    <row r="281">
      <c r="A281" s="2" t="inlineStr">
        <is>
          <t>LG</t>
        </is>
      </c>
      <c r="B281" s="2" t="inlineStr">
        <is>
          <t>QNED82</t>
        </is>
      </c>
      <c r="C281" s="2" t="inlineStr">
        <is>
          <t>QNED82</t>
        </is>
      </c>
      <c r="D281" s="2" t="inlineStr">
        <is>
          <t>75QNED826RE</t>
        </is>
      </c>
      <c r="E281" s="3" t="n">
        <v>75</v>
      </c>
      <c r="F281" s="3" t="n">
        <v>2023</v>
      </c>
      <c r="G281" s="4" t="n">
        <v>96.59999999999999</v>
      </c>
      <c r="H281" s="3" t="n">
        <v>400</v>
      </c>
      <c r="I281" s="3" t="n">
        <v>300</v>
      </c>
      <c r="J281" s="4" t="n">
        <v>36.1</v>
      </c>
      <c r="K281" s="4">
        <f>IF(ISNUMBER(J281),J281+I281/10,"")</f>
        <v/>
      </c>
      <c r="L281" s="2" t="inlineStr">
        <is>
          <t>producentens mål</t>
        </is>
      </c>
      <c r="M281" s="2" t="inlineStr">
        <is>
          <t>LG-tegning 2023</t>
        </is>
      </c>
      <c r="N281" s="2" t="inlineStr">
        <is>
          <t>LG's officielle bagside-tegning 2023 (QNED82/81/80 75″): VESA 400×300, nederste hul (X1) 36,1 cm fra underkant.</t>
        </is>
      </c>
    </row>
    <row r="282">
      <c r="A282" s="2" t="inlineStr">
        <is>
          <t>LG</t>
        </is>
      </c>
      <c r="B282" s="2" t="inlineStr">
        <is>
          <t>QNED82</t>
        </is>
      </c>
      <c r="C282" s="2" t="inlineStr">
        <is>
          <t>QNED82</t>
        </is>
      </c>
      <c r="D282" s="2" t="inlineStr">
        <is>
          <t>75QNED82A6B, 75QNED82A6F</t>
        </is>
      </c>
      <c r="E282" s="3" t="n">
        <v>75</v>
      </c>
      <c r="F282" s="3" t="n">
        <v>2025</v>
      </c>
      <c r="G282" s="4" t="n">
        <v>96.59999999999999</v>
      </c>
      <c r="H282" s="3" t="n">
        <v>300</v>
      </c>
      <c r="I282" s="3" t="n">
        <v>200</v>
      </c>
      <c r="J282" s="4" t="n">
        <v>13</v>
      </c>
      <c r="K282" s="4">
        <f>IF(ISNUMBER(J282),J282+I282/10,"")</f>
        <v/>
      </c>
      <c r="L282" s="2" t="inlineStr">
        <is>
          <t>billedmålt</t>
        </is>
      </c>
      <c r="M282" s="2" t="inlineStr">
        <is>
          <t>Icecat</t>
        </is>
      </c>
      <c r="N282" s="2" t="inlineStr">
        <is>
          <t>Billedmålt på Icecat-foto: nederste VESA-hul 13 cm fra underkant, målt ud fra VESA 300×200 som skala. Usikkerhed ca. ±1 cm. Billedkontrol (MediaMarkt): 13 cm.</t>
        </is>
      </c>
    </row>
    <row r="283">
      <c r="A283" s="2" t="inlineStr">
        <is>
          <t>LG</t>
        </is>
      </c>
      <c r="B283" s="2" t="inlineStr">
        <is>
          <t>QNED82</t>
        </is>
      </c>
      <c r="C283" s="2" t="inlineStr">
        <is>
          <t>QNED82 (2026)</t>
        </is>
      </c>
      <c r="D283" s="2" t="inlineStr">
        <is>
          <t>75QNED82B6A</t>
        </is>
      </c>
      <c r="E283" s="3" t="n">
        <v>75</v>
      </c>
      <c r="F283" s="3" t="n">
        <v>2026</v>
      </c>
      <c r="G283" s="4" t="n">
        <v>96.2</v>
      </c>
      <c r="H283" s="3" t="n">
        <v>300</v>
      </c>
      <c r="I283" s="3" t="n">
        <v>200</v>
      </c>
      <c r="J283" s="4" t="n"/>
      <c r="K283" s="4">
        <f>IF(ISNUMBER(J283),J283+I283/10,"")</f>
        <v/>
      </c>
      <c r="L283" s="2" t="inlineStr">
        <is>
          <t>estimat</t>
        </is>
      </c>
      <c r="M283" s="2" t="inlineStr"/>
      <c r="N283" s="2" t="inlineStr"/>
    </row>
    <row r="284">
      <c r="A284" s="2" t="inlineStr">
        <is>
          <t>LG</t>
        </is>
      </c>
      <c r="B284" s="2" t="inlineStr">
        <is>
          <t>QNED82</t>
        </is>
      </c>
      <c r="C284" s="2" t="inlineStr">
        <is>
          <t>QNED82</t>
        </is>
      </c>
      <c r="D284" s="2" t="inlineStr">
        <is>
          <t>65QNED82A6B, 65QNED82A6F</t>
        </is>
      </c>
      <c r="E284" s="3" t="n">
        <v>65</v>
      </c>
      <c r="F284" s="3" t="n">
        <v>2026</v>
      </c>
      <c r="G284" s="4" t="n">
        <v>84.09999999999999</v>
      </c>
      <c r="H284" s="3" t="n">
        <v>300</v>
      </c>
      <c r="I284" s="3" t="n">
        <v>200</v>
      </c>
      <c r="J284" s="4" t="n">
        <v>11.5</v>
      </c>
      <c r="K284" s="4">
        <f>IF(ISNUMBER(J284),J284+I284/10,"")</f>
        <v/>
      </c>
      <c r="L284" s="2" t="inlineStr">
        <is>
          <t>billedmålt</t>
        </is>
      </c>
      <c r="M284" s="2" t="inlineStr">
        <is>
          <t>Which?</t>
        </is>
      </c>
      <c r="N284" s="2" t="inlineStr">
        <is>
          <t>Billedmålt på Which?-foto (lg-65qned82a6b): nederste VESA-hul 11,5 cm fra underkant, målt ud fra VESA 300×200 som skala. Usikkerhed ca. ±1 cm.</t>
        </is>
      </c>
    </row>
    <row r="285">
      <c r="A285" s="2" t="inlineStr">
        <is>
          <t>LG</t>
        </is>
      </c>
      <c r="B285" s="2" t="inlineStr">
        <is>
          <t>QNED82</t>
        </is>
      </c>
      <c r="C285" s="2" t="inlineStr">
        <is>
          <t>QNED82 (2026)</t>
        </is>
      </c>
      <c r="D285" s="2" t="inlineStr">
        <is>
          <t>65QNED82B6B</t>
        </is>
      </c>
      <c r="E285" s="3" t="n">
        <v>65</v>
      </c>
      <c r="F285" s="3" t="n">
        <v>2026</v>
      </c>
      <c r="G285" s="4" t="n">
        <v>84.09999999999999</v>
      </c>
      <c r="H285" s="3" t="n">
        <v>300</v>
      </c>
      <c r="I285" s="3" t="n">
        <v>200</v>
      </c>
      <c r="J285" s="4" t="n"/>
      <c r="K285" s="4">
        <f>IF(ISNUMBER(J285),J285+I285/10,"")</f>
        <v/>
      </c>
      <c r="L285" s="2" t="inlineStr">
        <is>
          <t>estimat</t>
        </is>
      </c>
      <c r="M285" s="2" t="inlineStr"/>
      <c r="N285" s="2" t="inlineStr"/>
    </row>
    <row r="286">
      <c r="A286" s="2" t="inlineStr">
        <is>
          <t>LG</t>
        </is>
      </c>
      <c r="B286" s="2" t="inlineStr">
        <is>
          <t>QNED82</t>
        </is>
      </c>
      <c r="C286" s="2" t="inlineStr">
        <is>
          <t>QNED82</t>
        </is>
      </c>
      <c r="D286" s="2" t="inlineStr">
        <is>
          <t>55QNED82A6B</t>
        </is>
      </c>
      <c r="E286" s="3" t="n">
        <v>55</v>
      </c>
      <c r="F286" s="3" t="n">
        <v>2026</v>
      </c>
      <c r="G286" s="4" t="n">
        <v>71.7</v>
      </c>
      <c r="H286" s="3" t="n">
        <v>300</v>
      </c>
      <c r="I286" s="3" t="n">
        <v>200</v>
      </c>
      <c r="J286" s="4" t="n">
        <v>11.4</v>
      </c>
      <c r="K286" s="4">
        <f>IF(ISNUMBER(J286),J286+I286/10,"")</f>
        <v/>
      </c>
      <c r="L286" s="2" t="inlineStr">
        <is>
          <t>billedmålt</t>
        </is>
      </c>
      <c r="M286" s="2" t="inlineStr">
        <is>
          <t>Which?</t>
        </is>
      </c>
      <c r="N286" s="2" t="inlineStr">
        <is>
          <t>Billedmålt på Which?-foto (lg-55qned82a6b): nederste VESA-hul 11,4 cm fra underkant, målt ud fra VESA 300×200 som skala. Usikkerhed ca. ±1 cm. Billedkontrol (LG): 11,5 cm.</t>
        </is>
      </c>
    </row>
    <row r="287">
      <c r="A287" s="2" t="inlineStr">
        <is>
          <t>LG</t>
        </is>
      </c>
      <c r="B287" s="2" t="inlineStr">
        <is>
          <t>QNED82</t>
        </is>
      </c>
      <c r="C287" s="2" t="inlineStr">
        <is>
          <t>QNED82 (2026)</t>
        </is>
      </c>
      <c r="D287" s="2" t="inlineStr">
        <is>
          <t>55QNED82B6B</t>
        </is>
      </c>
      <c r="E287" s="3" t="n">
        <v>55</v>
      </c>
      <c r="F287" s="3" t="n">
        <v>2026</v>
      </c>
      <c r="G287" s="4" t="n">
        <v>71.8</v>
      </c>
      <c r="H287" s="3" t="n">
        <v>300</v>
      </c>
      <c r="I287" s="3" t="n">
        <v>200</v>
      </c>
      <c r="J287" s="4" t="n">
        <v>14</v>
      </c>
      <c r="K287" s="4">
        <f>IF(ISNUMBER(J287),J287+I287/10,"")</f>
        <v/>
      </c>
      <c r="L287" s="2" t="inlineStr">
        <is>
          <t>billedmålt</t>
        </is>
      </c>
      <c r="M287" s="2" t="inlineStr">
        <is>
          <t>LG</t>
        </is>
      </c>
      <c r="N287" s="2" t="inlineStr">
        <is>
          <t>Billedmålt på LG-foto: nederste VESA-hul 14 cm fra underkant, målt ud fra VESA 300×200 som skala. Usikkerhed ca. ±1 cm.</t>
        </is>
      </c>
    </row>
    <row r="288">
      <c r="A288" s="2" t="inlineStr">
        <is>
          <t>LG</t>
        </is>
      </c>
      <c r="B288" s="2" t="inlineStr">
        <is>
          <t>QNED82</t>
        </is>
      </c>
      <c r="C288" s="2" t="inlineStr">
        <is>
          <t>QNED82</t>
        </is>
      </c>
      <c r="D288" s="2" t="inlineStr">
        <is>
          <t>50QNED82A6B</t>
        </is>
      </c>
      <c r="E288" s="3" t="n">
        <v>50</v>
      </c>
      <c r="F288" s="3" t="n">
        <v>2026</v>
      </c>
      <c r="G288" s="4" t="n">
        <v>65.40000000000001</v>
      </c>
      <c r="H288" s="3" t="n">
        <v>200</v>
      </c>
      <c r="I288" s="3" t="n">
        <v>200</v>
      </c>
      <c r="J288" s="4" t="n">
        <v>13.2</v>
      </c>
      <c r="K288" s="4">
        <f>IF(ISNUMBER(J288),J288+I288/10,"")</f>
        <v/>
      </c>
      <c r="L288" s="2" t="inlineStr">
        <is>
          <t>billedmålt</t>
        </is>
      </c>
      <c r="M288" s="2" t="inlineStr">
        <is>
          <t>Which?</t>
        </is>
      </c>
      <c r="N288" s="2" t="inlineStr">
        <is>
          <t>Billedmålt på Which?-foto (lg-50qned82a6b): nederste VESA-hul 13,2 cm fra underkant, målt ud fra VESA 200×200 som skala. Usikkerhed ca. ±1 cm.</t>
        </is>
      </c>
    </row>
    <row r="289">
      <c r="A289" s="2" t="inlineStr">
        <is>
          <t>LG</t>
        </is>
      </c>
      <c r="B289" s="2" t="inlineStr">
        <is>
          <t>QNED82</t>
        </is>
      </c>
      <c r="C289" s="2" t="inlineStr">
        <is>
          <t>QNED82</t>
        </is>
      </c>
      <c r="D289" s="2" t="inlineStr">
        <is>
          <t>43QNED82A6B</t>
        </is>
      </c>
      <c r="E289" s="3" t="n">
        <v>43</v>
      </c>
      <c r="F289" s="3" t="n">
        <v>2026</v>
      </c>
      <c r="G289" s="4" t="n">
        <v>56.7</v>
      </c>
      <c r="H289" s="3" t="n">
        <v>200</v>
      </c>
      <c r="I289" s="3" t="n">
        <v>200</v>
      </c>
      <c r="J289" s="4" t="n">
        <v>13.2</v>
      </c>
      <c r="K289" s="4">
        <f>IF(ISNUMBER(J289),J289+I289/10,"")</f>
        <v/>
      </c>
      <c r="L289" s="2" t="inlineStr">
        <is>
          <t>billedmålt</t>
        </is>
      </c>
      <c r="M289" s="2" t="inlineStr">
        <is>
          <t>Which?</t>
        </is>
      </c>
      <c r="N289" s="2" t="inlineStr">
        <is>
          <t>Billedmålt på Which?-foto (lg-43qned82a6b): nederste VESA-hul 13,2 cm fra underkant, målt ud fra VESA 200×200 som skala. Usikkerhed ca. ±1 cm. Billedkontrol (MediaMarkt): 13,4 cm.</t>
        </is>
      </c>
    </row>
    <row r="290">
      <c r="A290" s="2" t="inlineStr">
        <is>
          <t>LG</t>
        </is>
      </c>
      <c r="B290" s="2" t="inlineStr">
        <is>
          <t>QNED83</t>
        </is>
      </c>
      <c r="C290" s="2" t="inlineStr">
        <is>
          <t>QNED83 (2026)</t>
        </is>
      </c>
      <c r="D290" s="2" t="inlineStr">
        <is>
          <t>75QNED83B6A</t>
        </is>
      </c>
      <c r="E290" s="3" t="n">
        <v>75</v>
      </c>
      <c r="F290" s="3" t="n">
        <v>2026</v>
      </c>
      <c r="G290" s="4" t="n">
        <v>96.2</v>
      </c>
      <c r="H290" s="3" t="n">
        <v>300</v>
      </c>
      <c r="I290" s="3" t="n">
        <v>200</v>
      </c>
      <c r="J290" s="4" t="n"/>
      <c r="K290" s="4">
        <f>IF(ISNUMBER(J290),J290+I290/10,"")</f>
        <v/>
      </c>
      <c r="L290" s="2" t="inlineStr">
        <is>
          <t>estimat</t>
        </is>
      </c>
      <c r="M290" s="2" t="inlineStr"/>
      <c r="N290" s="2" t="inlineStr"/>
    </row>
    <row r="291">
      <c r="A291" s="2" t="inlineStr">
        <is>
          <t>LG</t>
        </is>
      </c>
      <c r="B291" s="2" t="inlineStr">
        <is>
          <t>QNED83</t>
        </is>
      </c>
      <c r="C291" s="2" t="inlineStr">
        <is>
          <t>QNED83 (2026)</t>
        </is>
      </c>
      <c r="D291" s="2" t="inlineStr">
        <is>
          <t>65QNED83B6A</t>
        </is>
      </c>
      <c r="E291" s="3" t="n">
        <v>65</v>
      </c>
      <c r="F291" s="3" t="n">
        <v>2026</v>
      </c>
      <c r="G291" s="4" t="n">
        <v>84.09999999999999</v>
      </c>
      <c r="H291" s="3" t="n">
        <v>300</v>
      </c>
      <c r="I291" s="3" t="n">
        <v>200</v>
      </c>
      <c r="J291" s="4" t="n"/>
      <c r="K291" s="4">
        <f>IF(ISNUMBER(J291),J291+I291/10,"")</f>
        <v/>
      </c>
      <c r="L291" s="2" t="inlineStr">
        <is>
          <t>estimat</t>
        </is>
      </c>
      <c r="M291" s="2" t="inlineStr"/>
      <c r="N291" s="2" t="inlineStr"/>
    </row>
    <row r="292">
      <c r="A292" s="2" t="inlineStr">
        <is>
          <t>LG</t>
        </is>
      </c>
      <c r="B292" s="2" t="inlineStr">
        <is>
          <t>QNED83</t>
        </is>
      </c>
      <c r="C292" s="2" t="inlineStr">
        <is>
          <t>QNED83 (2026)</t>
        </is>
      </c>
      <c r="D292" s="2" t="inlineStr">
        <is>
          <t>55QNED83B6A</t>
        </is>
      </c>
      <c r="E292" s="3" t="n">
        <v>55</v>
      </c>
      <c r="F292" s="3" t="n">
        <v>2026</v>
      </c>
      <c r="G292" s="4" t="n">
        <v>71.8</v>
      </c>
      <c r="H292" s="3" t="n">
        <v>300</v>
      </c>
      <c r="I292" s="3" t="n">
        <v>200</v>
      </c>
      <c r="J292" s="4" t="n"/>
      <c r="K292" s="4">
        <f>IF(ISNUMBER(J292),J292+I292/10,"")</f>
        <v/>
      </c>
      <c r="L292" s="2" t="inlineStr">
        <is>
          <t>estimat</t>
        </is>
      </c>
      <c r="M292" s="2" t="inlineStr"/>
      <c r="N292" s="2" t="inlineStr"/>
    </row>
    <row r="293">
      <c r="A293" s="2" t="inlineStr">
        <is>
          <t>LG</t>
        </is>
      </c>
      <c r="B293" s="2" t="inlineStr">
        <is>
          <t>QNED84</t>
        </is>
      </c>
      <c r="C293" s="2" t="inlineStr">
        <is>
          <t>QNED84</t>
        </is>
      </c>
      <c r="D293" s="2" t="inlineStr">
        <is>
          <t>75QNED84A6C</t>
        </is>
      </c>
      <c r="E293" s="3" t="n">
        <v>75</v>
      </c>
      <c r="F293" s="3" t="n">
        <v>2026</v>
      </c>
      <c r="G293" s="4" t="n">
        <v>96.59999999999999</v>
      </c>
      <c r="H293" s="3" t="n">
        <v>300</v>
      </c>
      <c r="I293" s="3" t="n">
        <v>200</v>
      </c>
      <c r="J293" s="4" t="n">
        <v>13</v>
      </c>
      <c r="K293" s="4">
        <f>IF(ISNUMBER(J293),J293+I293/10,"")</f>
        <v/>
      </c>
      <c r="L293" s="2" t="inlineStr">
        <is>
          <t>billedmålt</t>
        </is>
      </c>
      <c r="M293" s="2" t="inlineStr">
        <is>
          <t>LG</t>
        </is>
      </c>
      <c r="N293" s="2" t="inlineStr">
        <is>
          <t>Billedmålt på LG-foto: nederste VESA-hul 13 cm fra underkant, målt ud fra VESA 300×200 som skala. Usikkerhed ca. ±1 cm.</t>
        </is>
      </c>
    </row>
    <row r="294">
      <c r="A294" s="2" t="inlineStr">
        <is>
          <t>LG</t>
        </is>
      </c>
      <c r="B294" s="2" t="inlineStr">
        <is>
          <t>QNED84</t>
        </is>
      </c>
      <c r="C294" s="2" t="inlineStr">
        <is>
          <t>QNED84</t>
        </is>
      </c>
      <c r="D294" s="2" t="inlineStr">
        <is>
          <t>65QNED84A6C</t>
        </is>
      </c>
      <c r="E294" s="3" t="n">
        <v>65</v>
      </c>
      <c r="F294" s="3" t="n">
        <v>2026</v>
      </c>
      <c r="G294" s="4" t="n">
        <v>84.09999999999999</v>
      </c>
      <c r="H294" s="3" t="n">
        <v>300</v>
      </c>
      <c r="I294" s="3" t="n">
        <v>200</v>
      </c>
      <c r="J294" s="4" t="n">
        <v>11.5</v>
      </c>
      <c r="K294" s="4">
        <f>IF(ISNUMBER(J294),J294+I294/10,"")</f>
        <v/>
      </c>
      <c r="L294" s="2" t="inlineStr">
        <is>
          <t>billedmålt</t>
        </is>
      </c>
      <c r="M294" s="2" t="inlineStr">
        <is>
          <t>LG</t>
        </is>
      </c>
      <c r="N294" s="2" t="inlineStr">
        <is>
          <t>Billedmålt på LG-foto: nederste VESA-hul 11,5 cm fra underkant, målt ud fra VESA 300×200 som skala. Usikkerhed ca. ±1 cm.</t>
        </is>
      </c>
    </row>
    <row r="295">
      <c r="A295" s="2" t="inlineStr">
        <is>
          <t>LG</t>
        </is>
      </c>
      <c r="B295" s="2" t="inlineStr">
        <is>
          <t>QNED84</t>
        </is>
      </c>
      <c r="C295" s="2" t="inlineStr">
        <is>
          <t>QNED84</t>
        </is>
      </c>
      <c r="D295" s="2" t="inlineStr">
        <is>
          <t>55QNED84A6C</t>
        </is>
      </c>
      <c r="E295" s="3" t="n">
        <v>55</v>
      </c>
      <c r="F295" s="3" t="n">
        <v>2026</v>
      </c>
      <c r="G295" s="4" t="n">
        <v>71.7</v>
      </c>
      <c r="H295" s="3" t="n">
        <v>300</v>
      </c>
      <c r="I295" s="3" t="n">
        <v>200</v>
      </c>
      <c r="J295" s="4" t="n"/>
      <c r="K295" s="4">
        <f>IF(ISNUMBER(J295),J295+I295/10,"")</f>
        <v/>
      </c>
      <c r="L295" s="2" t="inlineStr">
        <is>
          <t>estimat</t>
        </is>
      </c>
      <c r="M295" s="2" t="inlineStr"/>
      <c r="N295" s="2" t="inlineStr"/>
    </row>
    <row r="296">
      <c r="A296" s="2" t="inlineStr">
        <is>
          <t>LG</t>
        </is>
      </c>
      <c r="B296" s="2" t="inlineStr">
        <is>
          <t>QNED84</t>
        </is>
      </c>
      <c r="C296" s="2" t="inlineStr">
        <is>
          <t>QNED84</t>
        </is>
      </c>
      <c r="D296" s="2" t="inlineStr">
        <is>
          <t>50QNED84A6C</t>
        </is>
      </c>
      <c r="E296" s="3" t="n">
        <v>50</v>
      </c>
      <c r="F296" s="3" t="n">
        <v>2026</v>
      </c>
      <c r="G296" s="4" t="n">
        <v>65.40000000000001</v>
      </c>
      <c r="H296" s="3" t="n">
        <v>200</v>
      </c>
      <c r="I296" s="3" t="n">
        <v>200</v>
      </c>
      <c r="J296" s="4" t="n"/>
      <c r="K296" s="4">
        <f>IF(ISNUMBER(J296),J296+I296/10,"")</f>
        <v/>
      </c>
      <c r="L296" s="2" t="inlineStr">
        <is>
          <t>estimat</t>
        </is>
      </c>
      <c r="M296" s="2" t="inlineStr"/>
      <c r="N296" s="2" t="inlineStr"/>
    </row>
    <row r="297">
      <c r="A297" s="2" t="inlineStr">
        <is>
          <t>LG</t>
        </is>
      </c>
      <c r="B297" s="2" t="inlineStr">
        <is>
          <t>QNED84</t>
        </is>
      </c>
      <c r="C297" s="2" t="inlineStr">
        <is>
          <t>QNED84</t>
        </is>
      </c>
      <c r="D297" s="2" t="inlineStr">
        <is>
          <t>43QNED84A6C</t>
        </is>
      </c>
      <c r="E297" s="3" t="n">
        <v>43</v>
      </c>
      <c r="F297" s="3" t="n">
        <v>2026</v>
      </c>
      <c r="G297" s="4" t="n">
        <v>56.7</v>
      </c>
      <c r="H297" s="3" t="n">
        <v>200</v>
      </c>
      <c r="I297" s="3" t="n">
        <v>200</v>
      </c>
      <c r="J297" s="4" t="n">
        <v>13.4</v>
      </c>
      <c r="K297" s="4">
        <f>IF(ISNUMBER(J297),J297+I297/10,"")</f>
        <v/>
      </c>
      <c r="L297" s="2" t="inlineStr">
        <is>
          <t>billedmålt</t>
        </is>
      </c>
      <c r="M297" s="2" t="inlineStr">
        <is>
          <t>LG</t>
        </is>
      </c>
      <c r="N297" s="2" t="inlineStr">
        <is>
          <t>Billedmålt på LG-foto: nederste VESA-hul 13,4 cm fra underkant, målt ud fra VESA 200×200 som skala. Usikkerhed ca. ±1 cm.</t>
        </is>
      </c>
    </row>
    <row r="298">
      <c r="A298" s="2" t="inlineStr">
        <is>
          <t>LG</t>
        </is>
      </c>
      <c r="B298" s="2" t="inlineStr">
        <is>
          <t>QNED85</t>
        </is>
      </c>
      <c r="C298" s="2" t="inlineStr">
        <is>
          <t>QNED85</t>
        </is>
      </c>
      <c r="D298" s="2" t="inlineStr">
        <is>
          <t>86QNED85T6C, 86QNED85T3C</t>
        </is>
      </c>
      <c r="E298" s="3" t="n">
        <v>86</v>
      </c>
      <c r="F298" s="3" t="n">
        <v>2026</v>
      </c>
      <c r="G298" s="4" t="n">
        <v>110.8</v>
      </c>
      <c r="H298" s="3" t="n">
        <v>600</v>
      </c>
      <c r="I298" s="3" t="n">
        <v>400</v>
      </c>
      <c r="J298" s="4" t="n">
        <v>25.5</v>
      </c>
      <c r="K298" s="4">
        <f>IF(ISNUMBER(J298),J298+I298/10,"")</f>
        <v/>
      </c>
      <c r="L298" s="2" t="inlineStr">
        <is>
          <t>billedmålt</t>
        </is>
      </c>
      <c r="M298" s="2" t="inlineStr">
        <is>
          <t>Icecat</t>
        </is>
      </c>
      <c r="N298" s="2" t="inlineStr">
        <is>
          <t>Billedmålt på Icecat-foto: nederste VESA-hul 25,5 cm fra underkant, målt ud fra VESA 600×400 som skala. Usikkerhed ca. ±1 cm. Billedkontrol (LG): 25,6 cm.</t>
        </is>
      </c>
    </row>
    <row r="299">
      <c r="A299" s="2" t="inlineStr">
        <is>
          <t>LG</t>
        </is>
      </c>
      <c r="B299" s="2" t="inlineStr">
        <is>
          <t>QNED85</t>
        </is>
      </c>
      <c r="C299" s="2" t="inlineStr">
        <is>
          <t>QNED85 (2026)</t>
        </is>
      </c>
      <c r="D299" s="2" t="inlineStr">
        <is>
          <t>75QNED85B6B, 75QNED85B6A</t>
        </is>
      </c>
      <c r="E299" s="3" t="n">
        <v>75</v>
      </c>
      <c r="F299" s="3" t="n">
        <v>2026</v>
      </c>
      <c r="G299" s="4" t="n">
        <v>96.5</v>
      </c>
      <c r="H299" s="3" t="n">
        <v>400</v>
      </c>
      <c r="I299" s="3" t="n">
        <v>300</v>
      </c>
      <c r="J299" s="4" t="n"/>
      <c r="K299" s="4">
        <f>IF(ISNUMBER(J299),J299+I299/10,"")</f>
        <v/>
      </c>
      <c r="L299" s="2" t="inlineStr">
        <is>
          <t>estimat</t>
        </is>
      </c>
      <c r="M299" s="2" t="inlineStr"/>
      <c r="N299" s="2" t="inlineStr"/>
    </row>
    <row r="300">
      <c r="A300" s="2" t="inlineStr">
        <is>
          <t>LG</t>
        </is>
      </c>
      <c r="B300" s="2" t="inlineStr">
        <is>
          <t>QNED85</t>
        </is>
      </c>
      <c r="C300" s="2" t="inlineStr">
        <is>
          <t>QNED85</t>
        </is>
      </c>
      <c r="D300" s="2" t="inlineStr">
        <is>
          <t>75QNED85T6C, 75QNED85T3C</t>
        </is>
      </c>
      <c r="E300" s="3" t="n">
        <v>75</v>
      </c>
      <c r="F300" s="3" t="n">
        <v>2026</v>
      </c>
      <c r="G300" s="4" t="n">
        <v>96.5</v>
      </c>
      <c r="H300" s="3" t="n">
        <v>400</v>
      </c>
      <c r="I300" s="3" t="n">
        <v>300</v>
      </c>
      <c r="J300" s="4" t="n">
        <v>36.2</v>
      </c>
      <c r="K300" s="4">
        <f>IF(ISNUMBER(J300),J300+I300/10,"")</f>
        <v/>
      </c>
      <c r="L300" s="2" t="inlineStr">
        <is>
          <t>billedmålt</t>
        </is>
      </c>
      <c r="M300" s="2" t="inlineStr">
        <is>
          <t>Icecat</t>
        </is>
      </c>
      <c r="N300" s="2" t="inlineStr">
        <is>
          <t>Billedmålt på Icecat-foto: nederste VESA-hul 36,2 cm fra underkant, målt ud fra VESA 400×300 som skala. Usikkerhed ca. ±1 cm.</t>
        </is>
      </c>
    </row>
    <row r="301">
      <c r="A301" s="2" t="inlineStr">
        <is>
          <t>LG</t>
        </is>
      </c>
      <c r="B301" s="2" t="inlineStr">
        <is>
          <t>QNED85</t>
        </is>
      </c>
      <c r="C301" s="2" t="inlineStr">
        <is>
          <t>QNED85 (2026)</t>
        </is>
      </c>
      <c r="D301" s="2" t="inlineStr">
        <is>
          <t>65QNED85B6B, 65QNED85B6A</t>
        </is>
      </c>
      <c r="E301" s="3" t="n">
        <v>65</v>
      </c>
      <c r="F301" s="3" t="n">
        <v>2026</v>
      </c>
      <c r="G301" s="4" t="n">
        <v>84</v>
      </c>
      <c r="H301" s="3" t="n">
        <v>300</v>
      </c>
      <c r="I301" s="3" t="n">
        <v>300</v>
      </c>
      <c r="J301" s="4" t="n">
        <v>31.6</v>
      </c>
      <c r="K301" s="4">
        <f>IF(ISNUMBER(J301),J301+I301/10,"")</f>
        <v/>
      </c>
      <c r="L301" s="2" t="inlineStr">
        <is>
          <t>billedmålt</t>
        </is>
      </c>
      <c r="M301" s="2" t="inlineStr">
        <is>
          <t>Which?</t>
        </is>
      </c>
      <c r="N301" s="2" t="inlineStr">
        <is>
          <t>Billedmålt på Which?-foto: nederste VESA-hul 31,6 cm fra underkant, målt ud fra VESA 300×300 som skala. Usikkerhed ca. ±1 cm.</t>
        </is>
      </c>
    </row>
    <row r="302">
      <c r="A302" s="2" t="inlineStr">
        <is>
          <t>LG</t>
        </is>
      </c>
      <c r="B302" s="2" t="inlineStr">
        <is>
          <t>QNED85</t>
        </is>
      </c>
      <c r="C302" s="2" t="inlineStr">
        <is>
          <t>QNED85</t>
        </is>
      </c>
      <c r="D302" s="2" t="inlineStr">
        <is>
          <t>65QNED85T6C</t>
        </is>
      </c>
      <c r="E302" s="3" t="n">
        <v>65</v>
      </c>
      <c r="F302" s="3" t="n">
        <v>2026</v>
      </c>
      <c r="G302" s="4" t="n">
        <v>84</v>
      </c>
      <c r="H302" s="3" t="n">
        <v>300</v>
      </c>
      <c r="I302" s="3" t="n">
        <v>300</v>
      </c>
      <c r="J302" s="4" t="n">
        <v>31.5</v>
      </c>
      <c r="K302" s="4">
        <f>IF(ISNUMBER(J302),J302+I302/10,"")</f>
        <v/>
      </c>
      <c r="L302" s="2" t="inlineStr">
        <is>
          <t>billedmålt</t>
        </is>
      </c>
      <c r="M302" s="2" t="inlineStr">
        <is>
          <t>Icecat</t>
        </is>
      </c>
      <c r="N302" s="2" t="inlineStr">
        <is>
          <t>Billedmålt på Icecat-foto: nederste VESA-hul 31,5 cm fra underkant, målt ud fra VESA 300×300 som skala. Usikkerhed ca. ±1 cm. Billedkontrol (LG): 31,5 cm.</t>
        </is>
      </c>
    </row>
    <row r="303">
      <c r="A303" s="2" t="inlineStr">
        <is>
          <t>LG</t>
        </is>
      </c>
      <c r="B303" s="2" t="inlineStr">
        <is>
          <t>QNED85</t>
        </is>
      </c>
      <c r="C303" s="2" t="inlineStr">
        <is>
          <t>QNED85 (2026)</t>
        </is>
      </c>
      <c r="D303" s="2" t="inlineStr">
        <is>
          <t>55QNED85B6B</t>
        </is>
      </c>
      <c r="E303" s="3" t="n">
        <v>55</v>
      </c>
      <c r="F303" s="3" t="n">
        <v>2026</v>
      </c>
      <c r="G303" s="4" t="n">
        <v>71.59999999999999</v>
      </c>
      <c r="H303" s="3" t="n">
        <v>300</v>
      </c>
      <c r="I303" s="3" t="n">
        <v>300</v>
      </c>
      <c r="J303" s="4" t="n">
        <v>28</v>
      </c>
      <c r="K303" s="4">
        <f>IF(ISNUMBER(J303),J303+I303/10,"")</f>
        <v/>
      </c>
      <c r="L303" s="2" t="inlineStr">
        <is>
          <t>billedmålt</t>
        </is>
      </c>
      <c r="M303" s="2" t="inlineStr">
        <is>
          <t>Which?</t>
        </is>
      </c>
      <c r="N303" s="2" t="inlineStr">
        <is>
          <t>Billedmålt på Which?-foto: nederste VESA-hul 28 cm fra underkant, målt ud fra VESA 300×300 som skala. Usikkerhed ca. ±1 cm.</t>
        </is>
      </c>
    </row>
    <row r="304">
      <c r="A304" s="2" t="inlineStr">
        <is>
          <t>LG</t>
        </is>
      </c>
      <c r="B304" s="2" t="inlineStr">
        <is>
          <t>QNED85</t>
        </is>
      </c>
      <c r="C304" s="2" t="inlineStr">
        <is>
          <t>QNED85</t>
        </is>
      </c>
      <c r="D304" s="2" t="inlineStr">
        <is>
          <t>55QNED85T6C</t>
        </is>
      </c>
      <c r="E304" s="3" t="n">
        <v>55</v>
      </c>
      <c r="F304" s="3" t="n">
        <v>2026</v>
      </c>
      <c r="G304" s="4" t="n">
        <v>71.59999999999999</v>
      </c>
      <c r="H304" s="3" t="n">
        <v>300</v>
      </c>
      <c r="I304" s="3" t="n">
        <v>300</v>
      </c>
      <c r="J304" s="4" t="n">
        <v>28.4</v>
      </c>
      <c r="K304" s="4">
        <f>IF(ISNUMBER(J304),J304+I304/10,"")</f>
        <v/>
      </c>
      <c r="L304" s="2" t="inlineStr">
        <is>
          <t>billedmålt</t>
        </is>
      </c>
      <c r="M304" s="2" t="inlineStr">
        <is>
          <t>Icecat</t>
        </is>
      </c>
      <c r="N304" s="2" t="inlineStr">
        <is>
          <t>Billedmålt på Icecat-foto: nederste VESA-hul 28,4 cm fra underkant, målt ud fra VESA 300×300 som skala. Usikkerhed ca. ±1 cm. Billedkontrol (MediaMarkt): 28,4 cm. Billedkontrol (LG): 28,3 cm.</t>
        </is>
      </c>
    </row>
    <row r="305">
      <c r="A305" s="2" t="inlineStr">
        <is>
          <t>LG</t>
        </is>
      </c>
      <c r="B305" s="2" t="inlineStr">
        <is>
          <t>QNED85</t>
        </is>
      </c>
      <c r="C305" s="2" t="inlineStr">
        <is>
          <t>QNED85 (2026)</t>
        </is>
      </c>
      <c r="D305" s="2" t="inlineStr">
        <is>
          <t>50QNED85B6B</t>
        </is>
      </c>
      <c r="E305" s="3" t="n">
        <v>50</v>
      </c>
      <c r="F305" s="3" t="n">
        <v>2026</v>
      </c>
      <c r="G305" s="4" t="n">
        <v>65.2</v>
      </c>
      <c r="H305" s="3" t="n">
        <v>200</v>
      </c>
      <c r="I305" s="3" t="n">
        <v>200</v>
      </c>
      <c r="J305" s="4" t="n">
        <v>30.6</v>
      </c>
      <c r="K305" s="4">
        <f>IF(ISNUMBER(J305),J305+I305/10,"")</f>
        <v/>
      </c>
      <c r="L305" s="2" t="inlineStr">
        <is>
          <t>billedmålt</t>
        </is>
      </c>
      <c r="M305" s="2" t="inlineStr">
        <is>
          <t>Which?</t>
        </is>
      </c>
      <c r="N305" s="2" t="inlineStr">
        <is>
          <t>Billedmålt på Which?-foto: nederste VESA-hul 30,6 cm fra underkant, målt ud fra VESA 200×200 som skala. Usikkerhed ca. ±1 cm.</t>
        </is>
      </c>
    </row>
    <row r="306">
      <c r="A306" s="2" t="inlineStr">
        <is>
          <t>LG</t>
        </is>
      </c>
      <c r="B306" s="2" t="inlineStr">
        <is>
          <t>QNED85/QNED86</t>
        </is>
      </c>
      <c r="C306" s="2" t="inlineStr">
        <is>
          <t>QNED85/QNED86 (2023)</t>
        </is>
      </c>
      <c r="D306" s="2" t="inlineStr">
        <is>
          <t>LG QNED85/QNED86 65″ 2023</t>
        </is>
      </c>
      <c r="E306" s="3" t="n">
        <v>65</v>
      </c>
      <c r="F306" s="3" t="n">
        <v>2023</v>
      </c>
      <c r="G306" s="4" t="n"/>
      <c r="H306" s="3" t="n">
        <v>400</v>
      </c>
      <c r="I306" s="3" t="n">
        <v>400</v>
      </c>
      <c r="J306" s="4" t="n">
        <v>18.5</v>
      </c>
      <c r="K306" s="4">
        <f>IF(ISNUMBER(J306),J306+I306/10,"")</f>
        <v/>
      </c>
      <c r="L306" s="2" t="inlineStr">
        <is>
          <t>producentens mål</t>
        </is>
      </c>
      <c r="M306" s="2" t="inlineStr">
        <is>
          <t>LG-tegning 2023</t>
        </is>
      </c>
      <c r="N306" s="2" t="inlineStr">
        <is>
          <t>LG's officielle bagside-tegning 2023: X1 = 185 mm. Højden er regnet som X1 + VESA + W (ca. 1 cm usikkerhed).</t>
        </is>
      </c>
    </row>
    <row r="307">
      <c r="A307" s="2" t="inlineStr">
        <is>
          <t>LG</t>
        </is>
      </c>
      <c r="B307" s="2" t="inlineStr">
        <is>
          <t>QNED85/QNED86</t>
        </is>
      </c>
      <c r="C307" s="2" t="inlineStr">
        <is>
          <t>QNED85/QNED86 (2023)</t>
        </is>
      </c>
      <c r="D307" s="2" t="inlineStr">
        <is>
          <t>LG QNED85/QNED86 55″ 2023</t>
        </is>
      </c>
      <c r="E307" s="3" t="n">
        <v>55</v>
      </c>
      <c r="F307" s="3" t="n">
        <v>2023</v>
      </c>
      <c r="G307" s="4" t="n"/>
      <c r="H307" s="3" t="n">
        <v>300</v>
      </c>
      <c r="I307" s="3" t="n">
        <v>300</v>
      </c>
      <c r="J307" s="4" t="n">
        <v>24.4</v>
      </c>
      <c r="K307" s="4">
        <f>IF(ISNUMBER(J307),J307+I307/10,"")</f>
        <v/>
      </c>
      <c r="L307" s="2" t="inlineStr">
        <is>
          <t>producentens mål</t>
        </is>
      </c>
      <c r="M307" s="2" t="inlineStr">
        <is>
          <t>LG-tegning 2023</t>
        </is>
      </c>
      <c r="N307" s="2" t="inlineStr">
        <is>
          <t>LG's officielle bagside-tegning 2023: X1 = 244 mm. Højden er regnet som X1 + VESA + W (ca. 1 cm usikkerhed).</t>
        </is>
      </c>
    </row>
    <row r="308">
      <c r="A308" s="2" t="inlineStr">
        <is>
          <t>LG</t>
        </is>
      </c>
      <c r="B308" s="2" t="inlineStr">
        <is>
          <t>QNED86</t>
        </is>
      </c>
      <c r="C308" s="2" t="inlineStr">
        <is>
          <t>QNED86</t>
        </is>
      </c>
      <c r="D308" s="2" t="inlineStr">
        <is>
          <t>86QNED866QA, 86QNED869QA</t>
        </is>
      </c>
      <c r="E308" s="3" t="n">
        <v>86</v>
      </c>
      <c r="F308" s="3" t="n">
        <v>2022</v>
      </c>
      <c r="G308" s="4" t="n">
        <v>110.5</v>
      </c>
      <c r="H308" s="3" t="n">
        <v>600</v>
      </c>
      <c r="I308" s="3" t="n">
        <v>400</v>
      </c>
      <c r="J308" s="4" t="n"/>
      <c r="K308" s="4">
        <f>IF(ISNUMBER(J308),J308+I308/10,"")</f>
        <v/>
      </c>
      <c r="L308" s="2" t="inlineStr">
        <is>
          <t>estimat</t>
        </is>
      </c>
      <c r="M308" s="2" t="inlineStr"/>
      <c r="N308" s="2" t="inlineStr"/>
    </row>
    <row r="309">
      <c r="A309" s="2" t="inlineStr">
        <is>
          <t>LG</t>
        </is>
      </c>
      <c r="B309" s="2" t="inlineStr">
        <is>
          <t>QNED86</t>
        </is>
      </c>
      <c r="C309" s="2" t="inlineStr">
        <is>
          <t>QNED86</t>
        </is>
      </c>
      <c r="D309" s="2" t="inlineStr">
        <is>
          <t>86QNED866RE</t>
        </is>
      </c>
      <c r="E309" s="3" t="n">
        <v>86</v>
      </c>
      <c r="F309" s="3" t="n">
        <v>2023</v>
      </c>
      <c r="G309" s="4" t="n">
        <v>110.5</v>
      </c>
      <c r="H309" s="3" t="n">
        <v>600</v>
      </c>
      <c r="I309" s="3" t="n">
        <v>400</v>
      </c>
      <c r="J309" s="4" t="n">
        <v>25.8</v>
      </c>
      <c r="K309" s="4">
        <f>IF(ISNUMBER(J309),J309+I309/10,"")</f>
        <v/>
      </c>
      <c r="L309" s="2" t="inlineStr">
        <is>
          <t>producentens mål</t>
        </is>
      </c>
      <c r="M309" s="2" t="inlineStr">
        <is>
          <t>LG-tegning 2023</t>
        </is>
      </c>
      <c r="N309" s="2" t="inlineStr">
        <is>
          <t>Hulplacering fra LG's officielle bagside-tegning 2023 (QNED86/85 86″, X1 = 258 mm). Højde og VESA fra LG's side. Billedkontrol (Icecat): 26 cm.</t>
        </is>
      </c>
    </row>
    <row r="310">
      <c r="A310" s="2" t="inlineStr">
        <is>
          <t>LG</t>
        </is>
      </c>
      <c r="B310" s="2" t="inlineStr">
        <is>
          <t>QNED86</t>
        </is>
      </c>
      <c r="C310" s="2" t="inlineStr">
        <is>
          <t>QNED86</t>
        </is>
      </c>
      <c r="D310" s="2" t="inlineStr">
        <is>
          <t>86QNED86T6A</t>
        </is>
      </c>
      <c r="E310" s="3" t="n">
        <v>86</v>
      </c>
      <c r="F310" s="3" t="n">
        <v>2024</v>
      </c>
      <c r="G310" s="4" t="n">
        <v>110.5</v>
      </c>
      <c r="H310" s="3" t="n">
        <v>600</v>
      </c>
      <c r="I310" s="3" t="n">
        <v>400</v>
      </c>
      <c r="J310" s="4" t="n"/>
      <c r="K310" s="4">
        <f>IF(ISNUMBER(J310),J310+I310/10,"")</f>
        <v/>
      </c>
      <c r="L310" s="2" t="inlineStr">
        <is>
          <t>estimat</t>
        </is>
      </c>
      <c r="M310" s="2" t="inlineStr"/>
      <c r="N310" s="2" t="inlineStr"/>
    </row>
    <row r="311">
      <c r="A311" s="2" t="inlineStr">
        <is>
          <t>LG</t>
        </is>
      </c>
      <c r="B311" s="2" t="inlineStr">
        <is>
          <t>QNED86</t>
        </is>
      </c>
      <c r="C311" s="2" t="inlineStr">
        <is>
          <t>QNED86</t>
        </is>
      </c>
      <c r="D311" s="2" t="inlineStr">
        <is>
          <t>75QNED866QA, 75QNED869QA</t>
        </is>
      </c>
      <c r="E311" s="3" t="n">
        <v>75</v>
      </c>
      <c r="F311" s="3" t="n">
        <v>2022</v>
      </c>
      <c r="G311" s="4" t="n">
        <v>96.3</v>
      </c>
      <c r="H311" s="3" t="n">
        <v>400</v>
      </c>
      <c r="I311" s="3" t="n">
        <v>400</v>
      </c>
      <c r="J311" s="4" t="n"/>
      <c r="K311" s="4">
        <f>IF(ISNUMBER(J311),J311+I311/10,"")</f>
        <v/>
      </c>
      <c r="L311" s="2" t="inlineStr">
        <is>
          <t>estimat</t>
        </is>
      </c>
      <c r="M311" s="2" t="inlineStr"/>
      <c r="N311" s="2" t="inlineStr"/>
    </row>
    <row r="312">
      <c r="A312" s="2" t="inlineStr">
        <is>
          <t>LG</t>
        </is>
      </c>
      <c r="B312" s="2" t="inlineStr">
        <is>
          <t>QNED86</t>
        </is>
      </c>
      <c r="C312" s="2" t="inlineStr">
        <is>
          <t>QNED86</t>
        </is>
      </c>
      <c r="D312" s="2" t="inlineStr">
        <is>
          <t>75QNED866RE</t>
        </is>
      </c>
      <c r="E312" s="3" t="n">
        <v>75</v>
      </c>
      <c r="F312" s="3" t="n">
        <v>2023</v>
      </c>
      <c r="G312" s="4" t="n">
        <v>96.3</v>
      </c>
      <c r="H312" s="3" t="n">
        <v>400</v>
      </c>
      <c r="I312" s="3" t="n">
        <v>400</v>
      </c>
      <c r="J312" s="4" t="n">
        <v>24.5</v>
      </c>
      <c r="K312" s="4">
        <f>IF(ISNUMBER(J312),J312+I312/10,"")</f>
        <v/>
      </c>
      <c r="L312" s="2" t="inlineStr">
        <is>
          <t>producentens mål</t>
        </is>
      </c>
      <c r="M312" s="2" t="inlineStr">
        <is>
          <t>LG-tegning 2023</t>
        </is>
      </c>
      <c r="N312" s="2" t="inlineStr">
        <is>
          <t>Hulplacering fra LG's officielle bagside-tegning 2023 (QNED86/85 75″, X1 = 245 mm). Højde og VESA fra LG's side. Billedkontrol (Icecat): 24,9 cm. Billedkontrol (LG): 24,4 cm.</t>
        </is>
      </c>
    </row>
    <row r="313">
      <c r="A313" s="2" t="inlineStr">
        <is>
          <t>LG</t>
        </is>
      </c>
      <c r="B313" s="2" t="inlineStr">
        <is>
          <t>QNED86</t>
        </is>
      </c>
      <c r="C313" s="2" t="inlineStr">
        <is>
          <t>QNED86</t>
        </is>
      </c>
      <c r="D313" s="2" t="inlineStr">
        <is>
          <t>75QNED86T6A</t>
        </is>
      </c>
      <c r="E313" s="3" t="n">
        <v>75</v>
      </c>
      <c r="F313" s="3" t="n">
        <v>2024</v>
      </c>
      <c r="G313" s="4" t="n">
        <v>96.3</v>
      </c>
      <c r="H313" s="3" t="n">
        <v>400</v>
      </c>
      <c r="I313" s="3" t="n">
        <v>300</v>
      </c>
      <c r="J313" s="4" t="n"/>
      <c r="K313" s="4">
        <f>IF(ISNUMBER(J313),J313+I313/10,"")</f>
        <v/>
      </c>
      <c r="L313" s="2" t="inlineStr">
        <is>
          <t>estimat</t>
        </is>
      </c>
      <c r="M313" s="2" t="inlineStr"/>
      <c r="N313" s="2" t="inlineStr">
        <is>
          <t>VESA 400×400 → 400×300 efter Icecat.</t>
        </is>
      </c>
    </row>
    <row r="314">
      <c r="A314" s="2" t="inlineStr">
        <is>
          <t>LG</t>
        </is>
      </c>
      <c r="B314" s="2" t="inlineStr">
        <is>
          <t>QNED86</t>
        </is>
      </c>
      <c r="C314" s="2" t="inlineStr">
        <is>
          <t>QNED86 (2026)</t>
        </is>
      </c>
      <c r="D314" s="2" t="inlineStr">
        <is>
          <t>75QNED86B6B</t>
        </is>
      </c>
      <c r="E314" s="3" t="n">
        <v>75</v>
      </c>
      <c r="F314" s="3" t="n">
        <v>2026</v>
      </c>
      <c r="G314" s="4" t="n">
        <v>96.5</v>
      </c>
      <c r="H314" s="3" t="n">
        <v>400</v>
      </c>
      <c r="I314" s="3" t="n">
        <v>300</v>
      </c>
      <c r="J314" s="4" t="n"/>
      <c r="K314" s="4">
        <f>IF(ISNUMBER(J314),J314+I314/10,"")</f>
        <v/>
      </c>
      <c r="L314" s="2" t="inlineStr">
        <is>
          <t>estimat</t>
        </is>
      </c>
      <c r="M314" s="2" t="inlineStr"/>
      <c r="N314" s="2" t="inlineStr"/>
    </row>
    <row r="315">
      <c r="A315" s="2" t="inlineStr">
        <is>
          <t>LG</t>
        </is>
      </c>
      <c r="B315" s="2" t="inlineStr">
        <is>
          <t>QNED86</t>
        </is>
      </c>
      <c r="C315" s="2" t="inlineStr">
        <is>
          <t>QNED86</t>
        </is>
      </c>
      <c r="D315" s="2" t="inlineStr">
        <is>
          <t>65QNED866QA, 65QNED869QA</t>
        </is>
      </c>
      <c r="E315" s="3" t="n">
        <v>65</v>
      </c>
      <c r="F315" s="3" t="n">
        <v>2022</v>
      </c>
      <c r="G315" s="4" t="n">
        <v>84</v>
      </c>
      <c r="H315" s="3" t="n">
        <v>400</v>
      </c>
      <c r="I315" s="3" t="n">
        <v>400</v>
      </c>
      <c r="J315" s="4" t="n"/>
      <c r="K315" s="4">
        <f>IF(ISNUMBER(J315),J315+I315/10,"")</f>
        <v/>
      </c>
      <c r="L315" s="2" t="inlineStr">
        <is>
          <t>estimat</t>
        </is>
      </c>
      <c r="M315" s="2" t="inlineStr"/>
      <c r="N315" s="2" t="inlineStr">
        <is>
          <t>VESA 300×300 → 400×400 efter Icecat.</t>
        </is>
      </c>
    </row>
    <row r="316">
      <c r="A316" s="2" t="inlineStr">
        <is>
          <t>LG</t>
        </is>
      </c>
      <c r="B316" s="2" t="inlineStr">
        <is>
          <t>QNED86</t>
        </is>
      </c>
      <c r="C316" s="2" t="inlineStr">
        <is>
          <t>QNED86</t>
        </is>
      </c>
      <c r="D316" s="2" t="inlineStr">
        <is>
          <t>65QNED866RE</t>
        </is>
      </c>
      <c r="E316" s="3" t="n">
        <v>65</v>
      </c>
      <c r="F316" s="3" t="n">
        <v>2023</v>
      </c>
      <c r="G316" s="4" t="n">
        <v>84</v>
      </c>
      <c r="H316" s="3" t="n">
        <v>400</v>
      </c>
      <c r="I316" s="3" t="n">
        <v>400</v>
      </c>
      <c r="J316" s="4" t="n">
        <v>18.5</v>
      </c>
      <c r="K316" s="4">
        <f>IF(ISNUMBER(J316),J316+I316/10,"")</f>
        <v/>
      </c>
      <c r="L316" s="2" t="inlineStr">
        <is>
          <t>producentens mål</t>
        </is>
      </c>
      <c r="M316" s="2" t="inlineStr">
        <is>
          <t>LG-tegning 2023</t>
        </is>
      </c>
      <c r="N316" s="2" t="inlineStr">
        <is>
          <t>LG's officielle bagside-tegning 2023 (QNED86/85 65″): VESA 400×400, nederste hul (X1) 18,5 cm fra underkant. Listen havde 400×400 og 23,5 cm. Billedkontrol (LG): 18,5 cm.</t>
        </is>
      </c>
    </row>
    <row r="317">
      <c r="A317" s="2" t="inlineStr">
        <is>
          <t>LG</t>
        </is>
      </c>
      <c r="B317" s="2" t="inlineStr">
        <is>
          <t>QNED86</t>
        </is>
      </c>
      <c r="C317" s="2" t="inlineStr">
        <is>
          <t>QNED86</t>
        </is>
      </c>
      <c r="D317" s="2" t="inlineStr">
        <is>
          <t>65QNED86T6A</t>
        </is>
      </c>
      <c r="E317" s="3" t="n">
        <v>65</v>
      </c>
      <c r="F317" s="3" t="n">
        <v>2024</v>
      </c>
      <c r="G317" s="4" t="n">
        <v>84</v>
      </c>
      <c r="H317" s="3" t="n">
        <v>300</v>
      </c>
      <c r="I317" s="3" t="n">
        <v>300</v>
      </c>
      <c r="J317" s="4" t="n">
        <v>31.7</v>
      </c>
      <c r="K317" s="4">
        <f>IF(ISNUMBER(J317),J317+I317/10,"")</f>
        <v/>
      </c>
      <c r="L317" s="2" t="inlineStr">
        <is>
          <t>billedmålt</t>
        </is>
      </c>
      <c r="M317" s="2" t="inlineStr">
        <is>
          <t>Icecat</t>
        </is>
      </c>
      <c r="N317" s="2" t="inlineStr">
        <is>
          <t>Billedmålt på Icecat-foto: nederste VESA-hul 31,7 cm fra underkant, målt ud fra VESA 300×300 som skala. Usikkerhed ca. ±1 cm.</t>
        </is>
      </c>
    </row>
    <row r="318">
      <c r="A318" s="2" t="inlineStr">
        <is>
          <t>LG</t>
        </is>
      </c>
      <c r="B318" s="2" t="inlineStr">
        <is>
          <t>QNED86</t>
        </is>
      </c>
      <c r="C318" s="2" t="inlineStr">
        <is>
          <t>QNED86</t>
        </is>
      </c>
      <c r="D318" s="2" t="inlineStr">
        <is>
          <t>65QNED86A6A</t>
        </is>
      </c>
      <c r="E318" s="3" t="n">
        <v>65</v>
      </c>
      <c r="F318" s="3" t="n">
        <v>2025</v>
      </c>
      <c r="G318" s="4" t="n">
        <v>84</v>
      </c>
      <c r="H318" s="3" t="n">
        <v>300</v>
      </c>
      <c r="I318" s="3" t="n">
        <v>300</v>
      </c>
      <c r="J318" s="4" t="n">
        <v>31.8</v>
      </c>
      <c r="K318" s="4">
        <f>IF(ISNUMBER(J318),J318+I318/10,"")</f>
        <v/>
      </c>
      <c r="L318" s="2" t="inlineStr">
        <is>
          <t>billedmålt</t>
        </is>
      </c>
      <c r="M318" s="2" t="inlineStr">
        <is>
          <t>MediaMarkt</t>
        </is>
      </c>
      <c r="N318" s="2" t="inlineStr">
        <is>
          <t>Billedmålt på MediaMarkt-foto: nederste VESA-hul 31,8 cm fra underkant, målt ud fra VESA 300×300 som skala. Usikkerhed ca. ±1 cm.</t>
        </is>
      </c>
    </row>
    <row r="319">
      <c r="A319" s="2" t="inlineStr">
        <is>
          <t>LG</t>
        </is>
      </c>
      <c r="B319" s="2" t="inlineStr">
        <is>
          <t>QNED86</t>
        </is>
      </c>
      <c r="C319" s="2" t="inlineStr">
        <is>
          <t>QNED86 (2026)</t>
        </is>
      </c>
      <c r="D319" s="2" t="inlineStr">
        <is>
          <t>65QNED86B6B, 65QNED86B6B1</t>
        </is>
      </c>
      <c r="E319" s="3" t="n">
        <v>65</v>
      </c>
      <c r="F319" s="3" t="n">
        <v>2026</v>
      </c>
      <c r="G319" s="4" t="n">
        <v>84</v>
      </c>
      <c r="H319" s="3" t="n">
        <v>300</v>
      </c>
      <c r="I319" s="3" t="n">
        <v>300</v>
      </c>
      <c r="J319" s="4" t="n">
        <v>31.6</v>
      </c>
      <c r="K319" s="4">
        <f>IF(ISNUMBER(J319),J319+I319/10,"")</f>
        <v/>
      </c>
      <c r="L319" s="2" t="inlineStr">
        <is>
          <t>billedmålt</t>
        </is>
      </c>
      <c r="M319" s="2" t="inlineStr">
        <is>
          <t>Which?</t>
        </is>
      </c>
      <c r="N319" s="2" t="inlineStr">
        <is>
          <t>Billedmålt på Which?-foto: nederste VESA-hul 31,6 cm fra underkant, målt ud fra VESA 300×300 som skala. Usikkerhed ca. ±1 cm.</t>
        </is>
      </c>
    </row>
    <row r="320">
      <c r="A320" s="2" t="inlineStr">
        <is>
          <t>LG</t>
        </is>
      </c>
      <c r="B320" s="2" t="inlineStr">
        <is>
          <t>QNED86</t>
        </is>
      </c>
      <c r="C320" s="2" t="inlineStr">
        <is>
          <t>QNED86</t>
        </is>
      </c>
      <c r="D320" s="2" t="inlineStr">
        <is>
          <t>55QNED866QA, 55QNED869QA</t>
        </is>
      </c>
      <c r="E320" s="3" t="n">
        <v>55</v>
      </c>
      <c r="F320" s="3" t="n">
        <v>2022</v>
      </c>
      <c r="G320" s="4" t="n">
        <v>71.59999999999999</v>
      </c>
      <c r="H320" s="3" t="n">
        <v>300</v>
      </c>
      <c r="I320" s="3" t="n">
        <v>300</v>
      </c>
      <c r="J320" s="4" t="n"/>
      <c r="K320" s="4">
        <f>IF(ISNUMBER(J320),J320+I320/10,"")</f>
        <v/>
      </c>
      <c r="L320" s="2" t="inlineStr">
        <is>
          <t>estimat</t>
        </is>
      </c>
      <c r="M320" s="2" t="inlineStr"/>
      <c r="N320" s="2" t="inlineStr"/>
    </row>
    <row r="321">
      <c r="A321" s="2" t="inlineStr">
        <is>
          <t>LG</t>
        </is>
      </c>
      <c r="B321" s="2" t="inlineStr">
        <is>
          <t>QNED86</t>
        </is>
      </c>
      <c r="C321" s="2" t="inlineStr">
        <is>
          <t>QNED86</t>
        </is>
      </c>
      <c r="D321" s="2" t="inlineStr">
        <is>
          <t>55QNED866RE</t>
        </is>
      </c>
      <c r="E321" s="3" t="n">
        <v>55</v>
      </c>
      <c r="F321" s="3" t="n">
        <v>2023</v>
      </c>
      <c r="G321" s="4" t="n">
        <v>71.59999999999999</v>
      </c>
      <c r="H321" s="3" t="n">
        <v>300</v>
      </c>
      <c r="I321" s="3" t="n">
        <v>300</v>
      </c>
      <c r="J321" s="4" t="n">
        <v>24.4</v>
      </c>
      <c r="K321" s="4">
        <f>IF(ISNUMBER(J321),J321+I321/10,"")</f>
        <v/>
      </c>
      <c r="L321" s="2" t="inlineStr">
        <is>
          <t>producentens mål</t>
        </is>
      </c>
      <c r="M321" s="2" t="inlineStr">
        <is>
          <t>LG-tegning 2023</t>
        </is>
      </c>
      <c r="N321" s="2" t="inlineStr">
        <is>
          <t>Hulplacering fra LG's officielle bagside-tegning 2023.</t>
        </is>
      </c>
    </row>
    <row r="322">
      <c r="A322" s="2" t="inlineStr">
        <is>
          <t>LG</t>
        </is>
      </c>
      <c r="B322" s="2" t="inlineStr">
        <is>
          <t>QNED86</t>
        </is>
      </c>
      <c r="C322" s="2" t="inlineStr">
        <is>
          <t>QNED86</t>
        </is>
      </c>
      <c r="D322" s="2" t="inlineStr">
        <is>
          <t>55QNED86T6A</t>
        </is>
      </c>
      <c r="E322" s="3" t="n">
        <v>55</v>
      </c>
      <c r="F322" s="3" t="n">
        <v>2024</v>
      </c>
      <c r="G322" s="4" t="n">
        <v>71.59999999999999</v>
      </c>
      <c r="H322" s="3" t="n">
        <v>300</v>
      </c>
      <c r="I322" s="3" t="n">
        <v>300</v>
      </c>
      <c r="J322" s="4" t="n">
        <v>28.4</v>
      </c>
      <c r="K322" s="4">
        <f>IF(ISNUMBER(J322),J322+I322/10,"")</f>
        <v/>
      </c>
      <c r="L322" s="2" t="inlineStr">
        <is>
          <t>billedmålt</t>
        </is>
      </c>
      <c r="M322" s="2" t="inlineStr">
        <is>
          <t>Icecat</t>
        </is>
      </c>
      <c r="N322" s="2" t="inlineStr">
        <is>
          <t>Billedmålt på Icecat-foto: nederste VESA-hul 28,4 cm fra underkant, målt ud fra VESA 300×300 som skala. Usikkerhed ca. ±1 cm.</t>
        </is>
      </c>
    </row>
    <row r="323">
      <c r="A323" s="2" t="inlineStr">
        <is>
          <t>LG</t>
        </is>
      </c>
      <c r="B323" s="2" t="inlineStr">
        <is>
          <t>QNED86</t>
        </is>
      </c>
      <c r="C323" s="2" t="inlineStr">
        <is>
          <t>QNED86</t>
        </is>
      </c>
      <c r="D323" s="2" t="inlineStr">
        <is>
          <t>55QNED86A6A2, 55QNED86A6A</t>
        </is>
      </c>
      <c r="E323" s="3" t="n">
        <v>55</v>
      </c>
      <c r="F323" s="3" t="n">
        <v>2025</v>
      </c>
      <c r="G323" s="4" t="n">
        <v>71.59999999999999</v>
      </c>
      <c r="H323" s="3" t="n">
        <v>300</v>
      </c>
      <c r="I323" s="3" t="n">
        <v>300</v>
      </c>
      <c r="J323" s="4" t="n"/>
      <c r="K323" s="4">
        <f>IF(ISNUMBER(J323),J323+I323/10,"")</f>
        <v/>
      </c>
      <c r="L323" s="2" t="inlineStr">
        <is>
          <t>estimat</t>
        </is>
      </c>
      <c r="M323" s="2" t="inlineStr"/>
      <c r="N323" s="2" t="inlineStr"/>
    </row>
    <row r="324">
      <c r="A324" s="2" t="inlineStr">
        <is>
          <t>LG</t>
        </is>
      </c>
      <c r="B324" s="2" t="inlineStr">
        <is>
          <t>QNED86</t>
        </is>
      </c>
      <c r="C324" s="2" t="inlineStr">
        <is>
          <t>QNED86 (2026)</t>
        </is>
      </c>
      <c r="D324" s="2" t="inlineStr">
        <is>
          <t>55QNED86B6B</t>
        </is>
      </c>
      <c r="E324" s="3" t="n">
        <v>55</v>
      </c>
      <c r="F324" s="3" t="n">
        <v>2026</v>
      </c>
      <c r="G324" s="4" t="n">
        <v>71.59999999999999</v>
      </c>
      <c r="H324" s="3" t="n">
        <v>300</v>
      </c>
      <c r="I324" s="3" t="n">
        <v>300</v>
      </c>
      <c r="J324" s="4" t="n">
        <v>28</v>
      </c>
      <c r="K324" s="4">
        <f>IF(ISNUMBER(J324),J324+I324/10,"")</f>
        <v/>
      </c>
      <c r="L324" s="2" t="inlineStr">
        <is>
          <t>billedmålt</t>
        </is>
      </c>
      <c r="M324" s="2" t="inlineStr">
        <is>
          <t>Which?</t>
        </is>
      </c>
      <c r="N324" s="2" t="inlineStr">
        <is>
          <t>Billedmålt på Which?-foto: nederste VESA-hul 28 cm fra underkant, målt ud fra VESA 300×300 som skala. Usikkerhed ca. ±1 cm.</t>
        </is>
      </c>
    </row>
    <row r="325">
      <c r="A325" s="2" t="inlineStr">
        <is>
          <t>LG</t>
        </is>
      </c>
      <c r="B325" s="2" t="inlineStr">
        <is>
          <t>QNED86</t>
        </is>
      </c>
      <c r="C325" s="2" t="inlineStr">
        <is>
          <t>QNED86 (2026)</t>
        </is>
      </c>
      <c r="D325" s="2" t="inlineStr">
        <is>
          <t>50QNED86B6B</t>
        </is>
      </c>
      <c r="E325" s="3" t="n">
        <v>50</v>
      </c>
      <c r="F325" s="3" t="n">
        <v>2026</v>
      </c>
      <c r="G325" s="4" t="n">
        <v>65.2</v>
      </c>
      <c r="H325" s="3" t="n">
        <v>200</v>
      </c>
      <c r="I325" s="3" t="n">
        <v>200</v>
      </c>
      <c r="J325" s="4" t="n">
        <v>30.6</v>
      </c>
      <c r="K325" s="4">
        <f>IF(ISNUMBER(J325),J325+I325/10,"")</f>
        <v/>
      </c>
      <c r="L325" s="2" t="inlineStr">
        <is>
          <t>billedmålt</t>
        </is>
      </c>
      <c r="M325" s="2" t="inlineStr">
        <is>
          <t>Which?</t>
        </is>
      </c>
      <c r="N325" s="2" t="inlineStr">
        <is>
          <t>Billedmålt på Which?-foto: nederste VESA-hul 30,6 cm fra underkant, målt ud fra VESA 200×200 som skala. Usikkerhed ca. ±1 cm.</t>
        </is>
      </c>
    </row>
    <row r="326">
      <c r="A326" s="2" t="inlineStr">
        <is>
          <t>LG</t>
        </is>
      </c>
      <c r="B326" s="2" t="inlineStr">
        <is>
          <t>QNED86</t>
        </is>
      </c>
      <c r="C326" s="2" t="inlineStr">
        <is>
          <t>QNED86</t>
        </is>
      </c>
      <c r="D326" s="2" t="inlineStr">
        <is>
          <t>50QNED86T6A</t>
        </is>
      </c>
      <c r="E326" s="3" t="n">
        <v>50</v>
      </c>
      <c r="F326" s="3" t="n">
        <v>2026</v>
      </c>
      <c r="G326" s="4" t="n">
        <v>65.2</v>
      </c>
      <c r="H326" s="3" t="n">
        <v>200</v>
      </c>
      <c r="I326" s="3" t="n">
        <v>200</v>
      </c>
      <c r="J326" s="4" t="n">
        <v>30.8</v>
      </c>
      <c r="K326" s="4">
        <f>IF(ISNUMBER(J326),J326+I326/10,"")</f>
        <v/>
      </c>
      <c r="L326" s="2" t="inlineStr">
        <is>
          <t>billedmålt</t>
        </is>
      </c>
      <c r="M326" s="2" t="inlineStr">
        <is>
          <t>Icecat</t>
        </is>
      </c>
      <c r="N326" s="2" t="inlineStr">
        <is>
          <t>Billedmålt på Icecat-foto: nederste VESA-hul 30,8 cm fra underkant, målt ud fra VESA 200×200 som skala. Usikkerhed ca. ±1 cm.</t>
        </is>
      </c>
    </row>
    <row r="327">
      <c r="A327" s="2" t="inlineStr">
        <is>
          <t>LG</t>
        </is>
      </c>
      <c r="B327" s="2" t="inlineStr">
        <is>
          <t>QNED86</t>
        </is>
      </c>
      <c r="C327" s="2" t="inlineStr">
        <is>
          <t>QNED86 (2026)</t>
        </is>
      </c>
      <c r="D327" s="2" t="inlineStr">
        <is>
          <t>43QNED86B6B</t>
        </is>
      </c>
      <c r="E327" s="3" t="n">
        <v>43</v>
      </c>
      <c r="F327" s="3" t="n">
        <v>2026</v>
      </c>
      <c r="G327" s="4" t="n">
        <v>56.5</v>
      </c>
      <c r="H327" s="3" t="n">
        <v>200</v>
      </c>
      <c r="I327" s="3" t="n">
        <v>200</v>
      </c>
      <c r="J327" s="4" t="n">
        <v>21.1</v>
      </c>
      <c r="K327" s="4">
        <f>IF(ISNUMBER(J327),J327+I327/10,"")</f>
        <v/>
      </c>
      <c r="L327" s="2" t="inlineStr">
        <is>
          <t>billedmålt</t>
        </is>
      </c>
      <c r="M327" s="2" t="inlineStr">
        <is>
          <t>Which?</t>
        </is>
      </c>
      <c r="N327" s="2" t="inlineStr">
        <is>
          <t>Billedmålt på Which?-foto: nederste VESA-hul 21,1 cm fra underkant, målt ud fra VESA 200×200 som skala. Usikkerhed ca. ±1 cm.</t>
        </is>
      </c>
    </row>
    <row r="328">
      <c r="A328" s="2" t="inlineStr">
        <is>
          <t>LG</t>
        </is>
      </c>
      <c r="B328" s="2" t="inlineStr">
        <is>
          <t>QNED87</t>
        </is>
      </c>
      <c r="C328" s="2" t="inlineStr">
        <is>
          <t>QNED87 (2026)</t>
        </is>
      </c>
      <c r="D328" s="2" t="inlineStr">
        <is>
          <t>75QNED87B6A</t>
        </is>
      </c>
      <c r="E328" s="3" t="n">
        <v>75</v>
      </c>
      <c r="F328" s="3" t="n">
        <v>2026</v>
      </c>
      <c r="G328" s="4" t="n">
        <v>96.5</v>
      </c>
      <c r="H328" s="3" t="n">
        <v>400</v>
      </c>
      <c r="I328" s="3" t="n">
        <v>300</v>
      </c>
      <c r="J328" s="4" t="n"/>
      <c r="K328" s="4">
        <f>IF(ISNUMBER(J328),J328+I328/10,"")</f>
        <v/>
      </c>
      <c r="L328" s="2" t="inlineStr">
        <is>
          <t>estimat</t>
        </is>
      </c>
      <c r="M328" s="2" t="inlineStr"/>
      <c r="N328" s="2" t="inlineStr"/>
    </row>
    <row r="329">
      <c r="A329" s="2" t="inlineStr">
        <is>
          <t>LG</t>
        </is>
      </c>
      <c r="B329" s="2" t="inlineStr">
        <is>
          <t>QNED87</t>
        </is>
      </c>
      <c r="C329" s="2" t="inlineStr">
        <is>
          <t>QNED87</t>
        </is>
      </c>
      <c r="D329" s="2" t="inlineStr">
        <is>
          <t>75QNED87T6B</t>
        </is>
      </c>
      <c r="E329" s="3" t="n">
        <v>75</v>
      </c>
      <c r="F329" s="3" t="n">
        <v>2026</v>
      </c>
      <c r="G329" s="4" t="n">
        <v>96.5</v>
      </c>
      <c r="H329" s="3" t="n">
        <v>400</v>
      </c>
      <c r="I329" s="3" t="n">
        <v>300</v>
      </c>
      <c r="J329" s="4" t="n"/>
      <c r="K329" s="4">
        <f>IF(ISNUMBER(J329),J329+I329/10,"")</f>
        <v/>
      </c>
      <c r="L329" s="2" t="inlineStr">
        <is>
          <t>estimat</t>
        </is>
      </c>
      <c r="M329" s="2" t="inlineStr"/>
      <c r="N329" s="2" t="inlineStr"/>
    </row>
    <row r="330">
      <c r="A330" s="2" t="inlineStr">
        <is>
          <t>LG</t>
        </is>
      </c>
      <c r="B330" s="2" t="inlineStr">
        <is>
          <t>QNED87</t>
        </is>
      </c>
      <c r="C330" s="2" t="inlineStr">
        <is>
          <t>QNED87</t>
        </is>
      </c>
      <c r="D330" s="2" t="inlineStr">
        <is>
          <t>65QNED87T6B</t>
        </is>
      </c>
      <c r="E330" s="3" t="n">
        <v>65</v>
      </c>
      <c r="F330" s="3" t="n">
        <v>2024</v>
      </c>
      <c r="G330" s="4" t="n">
        <v>84</v>
      </c>
      <c r="H330" s="3" t="n">
        <v>300</v>
      </c>
      <c r="I330" s="3" t="n">
        <v>300</v>
      </c>
      <c r="J330" s="4" t="n"/>
      <c r="K330" s="4">
        <f>IF(ISNUMBER(J330),J330+I330/10,"")</f>
        <v/>
      </c>
      <c r="L330" s="2" t="inlineStr">
        <is>
          <t>estimat</t>
        </is>
      </c>
      <c r="M330" s="2" t="inlineStr"/>
      <c r="N330" s="2" t="inlineStr"/>
    </row>
    <row r="331">
      <c r="A331" s="2" t="inlineStr">
        <is>
          <t>LG</t>
        </is>
      </c>
      <c r="B331" s="2" t="inlineStr">
        <is>
          <t>QNED87</t>
        </is>
      </c>
      <c r="C331" s="2" t="inlineStr">
        <is>
          <t>QNED87</t>
        </is>
      </c>
      <c r="D331" s="2" t="inlineStr">
        <is>
          <t>65QNED87A6B</t>
        </is>
      </c>
      <c r="E331" s="3" t="n">
        <v>65</v>
      </c>
      <c r="F331" s="3" t="n">
        <v>2025</v>
      </c>
      <c r="G331" s="4" t="n">
        <v>84</v>
      </c>
      <c r="H331" s="3" t="n">
        <v>300</v>
      </c>
      <c r="I331" s="3" t="n">
        <v>300</v>
      </c>
      <c r="J331" s="4" t="n">
        <v>31.8</v>
      </c>
      <c r="K331" s="4">
        <f>IF(ISNUMBER(J331),J331+I331/10,"")</f>
        <v/>
      </c>
      <c r="L331" s="2" t="inlineStr">
        <is>
          <t>billedmålt</t>
        </is>
      </c>
      <c r="M331" s="2" t="inlineStr">
        <is>
          <t>Icecat</t>
        </is>
      </c>
      <c r="N331" s="2" t="inlineStr">
        <is>
          <t>Billedmålt på Icecat-foto: nederste VESA-hul 31,8 cm fra underkant, målt ud fra VESA 300×300 som skala. Usikkerhed ca. ±1 cm.</t>
        </is>
      </c>
    </row>
    <row r="332">
      <c r="A332" s="2" t="inlineStr">
        <is>
          <t>LG</t>
        </is>
      </c>
      <c r="B332" s="2" t="inlineStr">
        <is>
          <t>QNED87</t>
        </is>
      </c>
      <c r="C332" s="2" t="inlineStr">
        <is>
          <t>QNED87 (2026)</t>
        </is>
      </c>
      <c r="D332" s="2" t="inlineStr">
        <is>
          <t>65QNED87B6A</t>
        </is>
      </c>
      <c r="E332" s="3" t="n">
        <v>65</v>
      </c>
      <c r="F332" s="3" t="n">
        <v>2026</v>
      </c>
      <c r="G332" s="4" t="n">
        <v>84</v>
      </c>
      <c r="H332" s="3" t="n">
        <v>300</v>
      </c>
      <c r="I332" s="3" t="n">
        <v>300</v>
      </c>
      <c r="J332" s="4" t="n">
        <v>31.6</v>
      </c>
      <c r="K332" s="4">
        <f>IF(ISNUMBER(J332),J332+I332/10,"")</f>
        <v/>
      </c>
      <c r="L332" s="2" t="inlineStr">
        <is>
          <t>billedmålt</t>
        </is>
      </c>
      <c r="M332" s="2" t="inlineStr">
        <is>
          <t>Which?</t>
        </is>
      </c>
      <c r="N332" s="2" t="inlineStr">
        <is>
          <t>Billedmålt på Which?-foto: nederste VESA-hul 31,6 cm fra underkant, målt ud fra VESA 300×300 som skala. Usikkerhed ca. ±1 cm.</t>
        </is>
      </c>
    </row>
    <row r="333">
      <c r="A333" s="2" t="inlineStr">
        <is>
          <t>LG</t>
        </is>
      </c>
      <c r="B333" s="2" t="inlineStr">
        <is>
          <t>QNED87</t>
        </is>
      </c>
      <c r="C333" s="2" t="inlineStr">
        <is>
          <t>QNED87</t>
        </is>
      </c>
      <c r="D333" s="2" t="inlineStr">
        <is>
          <t>55QNED87T6B</t>
        </is>
      </c>
      <c r="E333" s="3" t="n">
        <v>55</v>
      </c>
      <c r="F333" s="3" t="n">
        <v>2024</v>
      </c>
      <c r="G333" s="4" t="n">
        <v>71.59999999999999</v>
      </c>
      <c r="H333" s="3" t="n">
        <v>300</v>
      </c>
      <c r="I333" s="3" t="n">
        <v>300</v>
      </c>
      <c r="J333" s="4" t="n"/>
      <c r="K333" s="4">
        <f>IF(ISNUMBER(J333),J333+I333/10,"")</f>
        <v/>
      </c>
      <c r="L333" s="2" t="inlineStr">
        <is>
          <t>estimat</t>
        </is>
      </c>
      <c r="M333" s="2" t="inlineStr"/>
      <c r="N333" s="2" t="inlineStr"/>
    </row>
    <row r="334">
      <c r="A334" s="2" t="inlineStr">
        <is>
          <t>LG</t>
        </is>
      </c>
      <c r="B334" s="2" t="inlineStr">
        <is>
          <t>QNED87</t>
        </is>
      </c>
      <c r="C334" s="2" t="inlineStr">
        <is>
          <t>QNED87</t>
        </is>
      </c>
      <c r="D334" s="2" t="inlineStr">
        <is>
          <t>55QNED87A6B</t>
        </is>
      </c>
      <c r="E334" s="3" t="n">
        <v>55</v>
      </c>
      <c r="F334" s="3" t="n">
        <v>2025</v>
      </c>
      <c r="G334" s="4" t="n">
        <v>71.59999999999999</v>
      </c>
      <c r="H334" s="3" t="n">
        <v>300</v>
      </c>
      <c r="I334" s="3" t="n">
        <v>300</v>
      </c>
      <c r="J334" s="4" t="n">
        <v>28.2</v>
      </c>
      <c r="K334" s="4">
        <f>IF(ISNUMBER(J334),J334+I334/10,"")</f>
        <v/>
      </c>
      <c r="L334" s="2" t="inlineStr">
        <is>
          <t>billedmålt</t>
        </is>
      </c>
      <c r="M334" s="2" t="inlineStr">
        <is>
          <t>Which?</t>
        </is>
      </c>
      <c r="N334" s="2" t="inlineStr">
        <is>
          <t>Billedmålt på Which?-foto (lg-55qned87a6b): nederste VESA-hul 28,2 cm fra underkant, målt ud fra VESA 300×300 som skala. Usikkerhed ca. ±1 cm.</t>
        </is>
      </c>
    </row>
    <row r="335">
      <c r="A335" s="2" t="inlineStr">
        <is>
          <t>LG</t>
        </is>
      </c>
      <c r="B335" s="2" t="inlineStr">
        <is>
          <t>QNED87</t>
        </is>
      </c>
      <c r="C335" s="2" t="inlineStr">
        <is>
          <t>QNED87 (2026)</t>
        </is>
      </c>
      <c r="D335" s="2" t="inlineStr">
        <is>
          <t>55QNED87B6A</t>
        </is>
      </c>
      <c r="E335" s="3" t="n">
        <v>55</v>
      </c>
      <c r="F335" s="3" t="n">
        <v>2026</v>
      </c>
      <c r="G335" s="4" t="n">
        <v>71.59999999999999</v>
      </c>
      <c r="H335" s="3" t="n">
        <v>300</v>
      </c>
      <c r="I335" s="3" t="n">
        <v>300</v>
      </c>
      <c r="J335" s="4" t="n">
        <v>28.6</v>
      </c>
      <c r="K335" s="4">
        <f>IF(ISNUMBER(J335),J335+I335/10,"")</f>
        <v/>
      </c>
      <c r="L335" s="2" t="inlineStr">
        <is>
          <t>billedmålt</t>
        </is>
      </c>
      <c r="M335" s="2" t="inlineStr">
        <is>
          <t>Which?</t>
        </is>
      </c>
      <c r="N335" s="2" t="inlineStr">
        <is>
          <t>Billedmålt på Which?-foto: nederste VESA-hul 28,6 cm fra underkant, målt ud fra VESA 300×300 som skala. Usikkerhed ca. ±1 cm.</t>
        </is>
      </c>
    </row>
    <row r="336">
      <c r="A336" s="2" t="inlineStr">
        <is>
          <t>LG</t>
        </is>
      </c>
      <c r="B336" s="2" t="inlineStr">
        <is>
          <t>QNED87</t>
        </is>
      </c>
      <c r="C336" s="2" t="inlineStr">
        <is>
          <t>QNED87</t>
        </is>
      </c>
      <c r="D336" s="2" t="inlineStr">
        <is>
          <t>50QNED87T6B</t>
        </is>
      </c>
      <c r="E336" s="3" t="n">
        <v>50</v>
      </c>
      <c r="F336" s="3" t="n">
        <v>2024</v>
      </c>
      <c r="G336" s="4" t="n">
        <v>65.2</v>
      </c>
      <c r="H336" s="3" t="n">
        <v>200</v>
      </c>
      <c r="I336" s="3" t="n">
        <v>200</v>
      </c>
      <c r="J336" s="4" t="n"/>
      <c r="K336" s="4">
        <f>IF(ISNUMBER(J336),J336+I336/10,"")</f>
        <v/>
      </c>
      <c r="L336" s="2" t="inlineStr">
        <is>
          <t>estimat</t>
        </is>
      </c>
      <c r="M336" s="2" t="inlineStr"/>
      <c r="N336" s="2" t="inlineStr"/>
    </row>
    <row r="337">
      <c r="A337" s="2" t="inlineStr">
        <is>
          <t>LG</t>
        </is>
      </c>
      <c r="B337" s="2" t="inlineStr">
        <is>
          <t>QNED87</t>
        </is>
      </c>
      <c r="C337" s="2" t="inlineStr">
        <is>
          <t>QNED87</t>
        </is>
      </c>
      <c r="D337" s="2" t="inlineStr">
        <is>
          <t>50QNED87A6D</t>
        </is>
      </c>
      <c r="E337" s="3" t="n">
        <v>50</v>
      </c>
      <c r="F337" s="3" t="n">
        <v>2025</v>
      </c>
      <c r="G337" s="4" t="n">
        <v>65.2</v>
      </c>
      <c r="H337" s="3" t="n">
        <v>200</v>
      </c>
      <c r="I337" s="3" t="n">
        <v>200</v>
      </c>
      <c r="J337" s="4" t="n">
        <v>30.8</v>
      </c>
      <c r="K337" s="4">
        <f>IF(ISNUMBER(J337),J337+I337/10,"")</f>
        <v/>
      </c>
      <c r="L337" s="2" t="inlineStr">
        <is>
          <t>billedmålt</t>
        </is>
      </c>
      <c r="M337" s="2" t="inlineStr">
        <is>
          <t>Which?</t>
        </is>
      </c>
      <c r="N337" s="2" t="inlineStr">
        <is>
          <t>Billedmålt på Which?-foto (lg-50qned87a6d): nederste VESA-hul 30,8 cm fra underkant, målt ud fra VESA 200×200 som skala. Usikkerhed ca. ±1 cm.</t>
        </is>
      </c>
    </row>
    <row r="338">
      <c r="A338" s="2" t="inlineStr">
        <is>
          <t>LG</t>
        </is>
      </c>
      <c r="B338" s="2" t="inlineStr">
        <is>
          <t>QNED87</t>
        </is>
      </c>
      <c r="C338" s="2" t="inlineStr">
        <is>
          <t>QNED87 (2026)</t>
        </is>
      </c>
      <c r="D338" s="2" t="inlineStr">
        <is>
          <t>50QNED87B6A</t>
        </is>
      </c>
      <c r="E338" s="3" t="n">
        <v>50</v>
      </c>
      <c r="F338" s="3" t="n">
        <v>2026</v>
      </c>
      <c r="G338" s="4" t="n">
        <v>65.2</v>
      </c>
      <c r="H338" s="3" t="n">
        <v>200</v>
      </c>
      <c r="I338" s="3" t="n">
        <v>200</v>
      </c>
      <c r="J338" s="4" t="n">
        <v>30.6</v>
      </c>
      <c r="K338" s="4">
        <f>IF(ISNUMBER(J338),J338+I338/10,"")</f>
        <v/>
      </c>
      <c r="L338" s="2" t="inlineStr">
        <is>
          <t>billedmålt</t>
        </is>
      </c>
      <c r="M338" s="2" t="inlineStr">
        <is>
          <t>Which?</t>
        </is>
      </c>
      <c r="N338" s="2" t="inlineStr">
        <is>
          <t>Billedmålt på Which?-foto: nederste VESA-hul 30,6 cm fra underkant, målt ud fra VESA 200×200 som skala. Usikkerhed ca. ±1 cm.</t>
        </is>
      </c>
    </row>
    <row r="339">
      <c r="A339" s="2" t="inlineStr">
        <is>
          <t>LG</t>
        </is>
      </c>
      <c r="B339" s="2" t="inlineStr">
        <is>
          <t>QNED87</t>
        </is>
      </c>
      <c r="C339" s="2" t="inlineStr">
        <is>
          <t>QNED87</t>
        </is>
      </c>
      <c r="D339" s="2" t="inlineStr">
        <is>
          <t>43QNED87A6D</t>
        </is>
      </c>
      <c r="E339" s="3" t="n">
        <v>43</v>
      </c>
      <c r="F339" s="3" t="n">
        <v>2026</v>
      </c>
      <c r="G339" s="4" t="n">
        <v>56.5</v>
      </c>
      <c r="H339" s="3" t="n">
        <v>200</v>
      </c>
      <c r="I339" s="3" t="n">
        <v>200</v>
      </c>
      <c r="J339" s="4" t="n">
        <v>21.1</v>
      </c>
      <c r="K339" s="4">
        <f>IF(ISNUMBER(J339),J339+I339/10,"")</f>
        <v/>
      </c>
      <c r="L339" s="2" t="inlineStr">
        <is>
          <t>billedmålt</t>
        </is>
      </c>
      <c r="M339" s="2" t="inlineStr">
        <is>
          <t>Icecat</t>
        </is>
      </c>
      <c r="N339" s="2" t="inlineStr">
        <is>
          <t>Billedmålt på Icecat-foto: nederste VESA-hul 21,1 cm fra underkant, målt ud fra VESA 200×200 som skala. Usikkerhed ca. ±1 cm. Billedkontrol (LG): 21 cm.</t>
        </is>
      </c>
    </row>
    <row r="340">
      <c r="A340" s="2" t="inlineStr">
        <is>
          <t>LG</t>
        </is>
      </c>
      <c r="B340" s="2" t="inlineStr">
        <is>
          <t>QNED87</t>
        </is>
      </c>
      <c r="C340" s="2" t="inlineStr">
        <is>
          <t>QNED87 (2026)</t>
        </is>
      </c>
      <c r="D340" s="2" t="inlineStr">
        <is>
          <t>43QNED87B6A</t>
        </is>
      </c>
      <c r="E340" s="3" t="n">
        <v>43</v>
      </c>
      <c r="F340" s="3" t="n">
        <v>2026</v>
      </c>
      <c r="G340" s="4" t="n">
        <v>56.5</v>
      </c>
      <c r="H340" s="3" t="n">
        <v>200</v>
      </c>
      <c r="I340" s="3" t="n">
        <v>200</v>
      </c>
      <c r="J340" s="4" t="n">
        <v>21.1</v>
      </c>
      <c r="K340" s="4">
        <f>IF(ISNUMBER(J340),J340+I340/10,"")</f>
        <v/>
      </c>
      <c r="L340" s="2" t="inlineStr">
        <is>
          <t>billedmålt</t>
        </is>
      </c>
      <c r="M340" s="2" t="inlineStr">
        <is>
          <t>LG</t>
        </is>
      </c>
      <c r="N340" s="2" t="inlineStr">
        <is>
          <t>Billedmålt på LG-foto: nederste VESA-hul 21,1 cm fra underkant, målt ud fra VESA 200×200 som skala. Usikkerhed ca. ±1 cm.</t>
        </is>
      </c>
    </row>
    <row r="341">
      <c r="A341" s="2" t="inlineStr">
        <is>
          <t>LG</t>
        </is>
      </c>
      <c r="B341" s="2" t="inlineStr">
        <is>
          <t>QNED89</t>
        </is>
      </c>
      <c r="C341" s="2" t="inlineStr">
        <is>
          <t>QNED89</t>
        </is>
      </c>
      <c r="D341" s="2" t="inlineStr">
        <is>
          <t>98QNED89T6A</t>
        </is>
      </c>
      <c r="E341" s="3" t="n">
        <v>98</v>
      </c>
      <c r="F341" s="3" t="n">
        <v>2026</v>
      </c>
      <c r="G341" s="4" t="n">
        <v>125.8</v>
      </c>
      <c r="H341" s="3" t="n">
        <v>800</v>
      </c>
      <c r="I341" s="3" t="n">
        <v>400</v>
      </c>
      <c r="J341" s="4" t="n">
        <v>15.8</v>
      </c>
      <c r="K341" s="4">
        <f>IF(ISNUMBER(J341),J341+I341/10,"")</f>
        <v/>
      </c>
      <c r="L341" s="2" t="inlineStr">
        <is>
          <t>billedmålt</t>
        </is>
      </c>
      <c r="M341" s="2" t="inlineStr">
        <is>
          <t>MediaMarkt</t>
        </is>
      </c>
      <c r="N341" s="2" t="inlineStr">
        <is>
          <t>Billedmålt på MediaMarkt-foto (foto af 98QNED89T6AA): nederste VESA-hul 15,8 cm fra underkant, målt ud fra VESA 800×400 som skala. Usikkerhed ca. ±1 cm. Billedkontrol (LG): 15,6 cm.</t>
        </is>
      </c>
    </row>
    <row r="342">
      <c r="A342" s="2" t="inlineStr">
        <is>
          <t>LG</t>
        </is>
      </c>
      <c r="B342" s="2" t="inlineStr">
        <is>
          <t>QNED91</t>
        </is>
      </c>
      <c r="C342" s="2" t="inlineStr">
        <is>
          <t>QNED91</t>
        </is>
      </c>
      <c r="D342" s="2" t="inlineStr">
        <is>
          <t>86QNED91T6A</t>
        </is>
      </c>
      <c r="E342" s="3" t="n">
        <v>86</v>
      </c>
      <c r="F342" s="3" t="n">
        <v>2026</v>
      </c>
      <c r="G342" s="4" t="n">
        <v>110.5</v>
      </c>
      <c r="H342" s="3" t="n">
        <v>600</v>
      </c>
      <c r="I342" s="3" t="n">
        <v>400</v>
      </c>
      <c r="J342" s="4" t="n">
        <v>26</v>
      </c>
      <c r="K342" s="4">
        <f>IF(ISNUMBER(J342),J342+I342/10,"")</f>
        <v/>
      </c>
      <c r="L342" s="2" t="inlineStr">
        <is>
          <t>billedmålt</t>
        </is>
      </c>
      <c r="M342" s="2" t="inlineStr">
        <is>
          <t>MediaMarkt</t>
        </is>
      </c>
      <c r="N342" s="2" t="inlineStr">
        <is>
          <t>Billedmålt på MediaMarkt-foto (foto af 86QNED91T6AA): nederste VESA-hul 26 cm fra underkant, målt ud fra VESA 600×400 som skala. Usikkerhed ca. ±1 cm. Billedkontrol (LG): 26 cm.</t>
        </is>
      </c>
    </row>
    <row r="343">
      <c r="A343" s="2" t="inlineStr">
        <is>
          <t>LG</t>
        </is>
      </c>
      <c r="B343" s="2" t="inlineStr">
        <is>
          <t>QNED91</t>
        </is>
      </c>
      <c r="C343" s="2" t="inlineStr">
        <is>
          <t>QNED91</t>
        </is>
      </c>
      <c r="D343" s="2" t="inlineStr">
        <is>
          <t>75QNED916QE, 75QNED916QA</t>
        </is>
      </c>
      <c r="E343" s="3" t="n">
        <v>75</v>
      </c>
      <c r="F343" s="3" t="n">
        <v>2022</v>
      </c>
      <c r="G343" s="4" t="n">
        <v>96.3</v>
      </c>
      <c r="H343" s="3" t="n">
        <v>400</v>
      </c>
      <c r="I343" s="3" t="n">
        <v>400</v>
      </c>
      <c r="J343" s="4" t="n"/>
      <c r="K343" s="4">
        <f>IF(ISNUMBER(J343),J343+I343/10,"")</f>
        <v/>
      </c>
      <c r="L343" s="2" t="inlineStr">
        <is>
          <t>estimat</t>
        </is>
      </c>
      <c r="M343" s="2" t="inlineStr"/>
      <c r="N343" s="2" t="inlineStr"/>
    </row>
    <row r="344">
      <c r="A344" s="2" t="inlineStr">
        <is>
          <t>LG</t>
        </is>
      </c>
      <c r="B344" s="2" t="inlineStr">
        <is>
          <t>QNED91</t>
        </is>
      </c>
      <c r="C344" s="2" t="inlineStr">
        <is>
          <t>QNED91</t>
        </is>
      </c>
      <c r="D344" s="2" t="inlineStr">
        <is>
          <t>75QNED91T6A</t>
        </is>
      </c>
      <c r="E344" s="3" t="n">
        <v>75</v>
      </c>
      <c r="F344" s="3" t="n">
        <v>2024</v>
      </c>
      <c r="G344" s="4" t="n">
        <v>96.3</v>
      </c>
      <c r="H344" s="3" t="n">
        <v>400</v>
      </c>
      <c r="I344" s="3" t="n">
        <v>400</v>
      </c>
      <c r="J344" s="4" t="n">
        <v>24.5</v>
      </c>
      <c r="K344" s="4">
        <f>IF(ISNUMBER(J344),J344+I344/10,"")</f>
        <v/>
      </c>
      <c r="L344" s="2" t="inlineStr">
        <is>
          <t>billedmålt</t>
        </is>
      </c>
      <c r="M344" s="2" t="inlineStr">
        <is>
          <t>Icecat</t>
        </is>
      </c>
      <c r="N344" s="2" t="inlineStr">
        <is>
          <t>Billedmålt på Icecat-foto: nederste VESA-hul 24,5 cm fra underkant, målt ud fra VESA 400×400 som skala. Usikkerhed ca. ±1 cm. Billedkontrol (MediaMarkt): 24,5 cm. Billedkontrol (LG): 24,5 cm.</t>
        </is>
      </c>
    </row>
    <row r="345">
      <c r="A345" s="2" t="inlineStr">
        <is>
          <t>LG</t>
        </is>
      </c>
      <c r="B345" s="2" t="inlineStr">
        <is>
          <t>QNED91</t>
        </is>
      </c>
      <c r="C345" s="2" t="inlineStr">
        <is>
          <t>QNED91</t>
        </is>
      </c>
      <c r="D345" s="2" t="inlineStr">
        <is>
          <t>65QNED916QE, 65QNED916QA</t>
        </is>
      </c>
      <c r="E345" s="3" t="n">
        <v>65</v>
      </c>
      <c r="F345" s="3" t="n">
        <v>2022</v>
      </c>
      <c r="G345" s="4" t="n">
        <v>83.90000000000001</v>
      </c>
      <c r="H345" s="3" t="n">
        <v>400</v>
      </c>
      <c r="I345" s="3" t="n">
        <v>400</v>
      </c>
      <c r="J345" s="4" t="n"/>
      <c r="K345" s="4">
        <f>IF(ISNUMBER(J345),J345+I345/10,"")</f>
        <v/>
      </c>
      <c r="L345" s="2" t="inlineStr">
        <is>
          <t>estimat</t>
        </is>
      </c>
      <c r="M345" s="2" t="inlineStr"/>
      <c r="N345" s="2" t="inlineStr"/>
    </row>
    <row r="346">
      <c r="A346" s="2" t="inlineStr">
        <is>
          <t>LG</t>
        </is>
      </c>
      <c r="B346" s="2" t="inlineStr">
        <is>
          <t>QNED91</t>
        </is>
      </c>
      <c r="C346" s="2" t="inlineStr">
        <is>
          <t>QNED91</t>
        </is>
      </c>
      <c r="D346" s="2" t="inlineStr">
        <is>
          <t>65QNED91T6A</t>
        </is>
      </c>
      <c r="E346" s="3" t="n">
        <v>65</v>
      </c>
      <c r="F346" s="3" t="n">
        <v>2024</v>
      </c>
      <c r="G346" s="4" t="n">
        <v>83.90000000000001</v>
      </c>
      <c r="H346" s="3" t="n">
        <v>400</v>
      </c>
      <c r="I346" s="3" t="n">
        <v>400</v>
      </c>
      <c r="J346" s="4" t="n">
        <v>18.5</v>
      </c>
      <c r="K346" s="4">
        <f>IF(ISNUMBER(J346),J346+I346/10,"")</f>
        <v/>
      </c>
      <c r="L346" s="2" t="inlineStr">
        <is>
          <t>billedmålt</t>
        </is>
      </c>
      <c r="M346" s="2" t="inlineStr">
        <is>
          <t>Icecat</t>
        </is>
      </c>
      <c r="N346" s="2" t="inlineStr">
        <is>
          <t>Billedmålt på Icecat-foto: nederste VESA-hul 18,5 cm fra underkant, målt ud fra VESA 400×400 som skala. Usikkerhed ca. ±1 cm. Billedkontrol (MediaMarkt): 18,5 cm. Billedkontrol (LG): 18,5 cm.</t>
        </is>
      </c>
    </row>
    <row r="347">
      <c r="A347" s="2" t="inlineStr">
        <is>
          <t>LG</t>
        </is>
      </c>
      <c r="B347" s="2" t="inlineStr">
        <is>
          <t>QNED92</t>
        </is>
      </c>
      <c r="C347" s="2" t="inlineStr">
        <is>
          <t>QNED92</t>
        </is>
      </c>
      <c r="D347" s="2" t="inlineStr">
        <is>
          <t>85QNED92A6A, 85QNED92ASA</t>
        </is>
      </c>
      <c r="E347" s="3" t="n">
        <v>85</v>
      </c>
      <c r="F347" s="3" t="n">
        <v>2026</v>
      </c>
      <c r="G347" s="4" t="n">
        <v>108.1</v>
      </c>
      <c r="H347" s="3" t="n">
        <v>600</v>
      </c>
      <c r="I347" s="3" t="n">
        <v>400</v>
      </c>
      <c r="J347" s="4" t="n">
        <v>28.8</v>
      </c>
      <c r="K347" s="4">
        <f>IF(ISNUMBER(J347),J347+I347/10,"")</f>
        <v/>
      </c>
      <c r="L347" s="2" t="inlineStr">
        <is>
          <t>billedmålt</t>
        </is>
      </c>
      <c r="M347" s="2" t="inlineStr">
        <is>
          <t>Icecat</t>
        </is>
      </c>
      <c r="N347" s="2" t="inlineStr">
        <is>
          <t>Billedmålt på Icecat-foto: nederste VESA-hul 28,8 cm fra underkant, målt ud fra VESA 600×400 som skala. Usikkerhed ca. ±1 cm. Billedkontrol (LG): 28,8 cm.</t>
        </is>
      </c>
    </row>
    <row r="348">
      <c r="A348" s="2" t="inlineStr">
        <is>
          <t>LG</t>
        </is>
      </c>
      <c r="B348" s="2" t="inlineStr">
        <is>
          <t>QNED92</t>
        </is>
      </c>
      <c r="C348" s="2" t="inlineStr">
        <is>
          <t>QNED92</t>
        </is>
      </c>
      <c r="D348" s="2" t="inlineStr">
        <is>
          <t>75QNED92A6A, 75QNED92ASA</t>
        </is>
      </c>
      <c r="E348" s="3" t="n">
        <v>75</v>
      </c>
      <c r="F348" s="3" t="n">
        <v>2026</v>
      </c>
      <c r="G348" s="4" t="n">
        <v>95.5</v>
      </c>
      <c r="H348" s="3" t="n">
        <v>400</v>
      </c>
      <c r="I348" s="3" t="n">
        <v>300</v>
      </c>
      <c r="J348" s="4" t="n"/>
      <c r="K348" s="4">
        <f>IF(ISNUMBER(J348),J348+I348/10,"")</f>
        <v/>
      </c>
      <c r="L348" s="2" t="inlineStr">
        <is>
          <t>estimat</t>
        </is>
      </c>
      <c r="M348" s="2" t="inlineStr"/>
      <c r="N348" s="2" t="inlineStr"/>
    </row>
    <row r="349">
      <c r="A349" s="2" t="inlineStr">
        <is>
          <t>LG</t>
        </is>
      </c>
      <c r="B349" s="2" t="inlineStr">
        <is>
          <t>QNED92</t>
        </is>
      </c>
      <c r="C349" s="2" t="inlineStr">
        <is>
          <t>QNED92</t>
        </is>
      </c>
      <c r="D349" s="2" t="inlineStr">
        <is>
          <t>65QNED92A6A, 65QNED92ASA</t>
        </is>
      </c>
      <c r="E349" s="3" t="n">
        <v>65</v>
      </c>
      <c r="F349" s="3" t="n">
        <v>2026</v>
      </c>
      <c r="G349" s="4" t="n">
        <v>83</v>
      </c>
      <c r="H349" s="3" t="n">
        <v>400</v>
      </c>
      <c r="I349" s="3" t="n">
        <v>300</v>
      </c>
      <c r="J349" s="4" t="n">
        <v>14.2</v>
      </c>
      <c r="K349" s="4">
        <f>IF(ISNUMBER(J349),J349+I349/10,"")</f>
        <v/>
      </c>
      <c r="L349" s="2" t="inlineStr">
        <is>
          <t>billedmålt</t>
        </is>
      </c>
      <c r="M349" s="2" t="inlineStr">
        <is>
          <t>Icecat</t>
        </is>
      </c>
      <c r="N349" s="2" t="inlineStr">
        <is>
          <t>Billedmålt på Icecat-foto: nederste VESA-hul 14,2 cm fra underkant, målt ud fra VESA 400×300 som skala. Usikkerhed ca. ±1 cm.</t>
        </is>
      </c>
    </row>
    <row r="350">
      <c r="A350" s="2" t="inlineStr">
        <is>
          <t>LG</t>
        </is>
      </c>
      <c r="B350" s="2" t="inlineStr">
        <is>
          <t>QNED92</t>
        </is>
      </c>
      <c r="C350" s="2" t="inlineStr">
        <is>
          <t>QNED92</t>
        </is>
      </c>
      <c r="D350" s="2" t="inlineStr">
        <is>
          <t>55QNED92A6A, 55QNED92ACA</t>
        </is>
      </c>
      <c r="E350" s="3" t="n">
        <v>55</v>
      </c>
      <c r="F350" s="3" t="n">
        <v>2026</v>
      </c>
      <c r="G350" s="4" t="n">
        <v>70.90000000000001</v>
      </c>
      <c r="H350" s="3" t="n">
        <v>300</v>
      </c>
      <c r="I350" s="3" t="n">
        <v>300</v>
      </c>
      <c r="J350" s="4" t="n"/>
      <c r="K350" s="4">
        <f>IF(ISNUMBER(J350),J350+I350/10,"")</f>
        <v/>
      </c>
      <c r="L350" s="2" t="inlineStr">
        <is>
          <t>estimat</t>
        </is>
      </c>
      <c r="M350" s="2" t="inlineStr"/>
      <c r="N350" s="2" t="inlineStr"/>
    </row>
    <row r="351">
      <c r="A351" s="2" t="inlineStr">
        <is>
          <t>LG</t>
        </is>
      </c>
      <c r="B351" s="2" t="inlineStr">
        <is>
          <t>QNED93</t>
        </is>
      </c>
      <c r="C351" s="2" t="inlineStr">
        <is>
          <t>QNED93</t>
        </is>
      </c>
      <c r="D351" s="2" t="inlineStr">
        <is>
          <t>85QNED93A6A, 85QNED93A6A1, 85QNED93ASA</t>
        </is>
      </c>
      <c r="E351" s="3" t="n">
        <v>85</v>
      </c>
      <c r="F351" s="3" t="n">
        <v>2026</v>
      </c>
      <c r="G351" s="4" t="n">
        <v>108.1</v>
      </c>
      <c r="H351" s="3" t="n">
        <v>600</v>
      </c>
      <c r="I351" s="3" t="n">
        <v>400</v>
      </c>
      <c r="J351" s="4" t="n">
        <v>28.5</v>
      </c>
      <c r="K351" s="4">
        <f>IF(ISNUMBER(J351),J351+I351/10,"")</f>
        <v/>
      </c>
      <c r="L351" s="2" t="inlineStr">
        <is>
          <t>billedmålt</t>
        </is>
      </c>
      <c r="M351" s="2" t="inlineStr">
        <is>
          <t>LG</t>
        </is>
      </c>
      <c r="N351" s="2" t="inlineStr">
        <is>
          <t>Billedmålt på LG-foto: nederste VESA-hul 28,5 cm fra underkant, målt ud fra VESA 600×400 som skala. Usikkerhed ca. ±1 cm.</t>
        </is>
      </c>
    </row>
    <row r="352">
      <c r="A352" s="2" t="inlineStr">
        <is>
          <t>LG</t>
        </is>
      </c>
      <c r="B352" s="2" t="inlineStr">
        <is>
          <t>QNED93</t>
        </is>
      </c>
      <c r="C352" s="2" t="inlineStr">
        <is>
          <t>QNED93</t>
        </is>
      </c>
      <c r="D352" s="2" t="inlineStr">
        <is>
          <t>75QNED93A6A, 75QNED93A6A1</t>
        </is>
      </c>
      <c r="E352" s="3" t="n">
        <v>75</v>
      </c>
      <c r="F352" s="3" t="n">
        <v>2026</v>
      </c>
      <c r="G352" s="4" t="n">
        <v>95.5</v>
      </c>
      <c r="H352" s="3" t="n">
        <v>400</v>
      </c>
      <c r="I352" s="3" t="n">
        <v>300</v>
      </c>
      <c r="J352" s="4" t="n"/>
      <c r="K352" s="4">
        <f>IF(ISNUMBER(J352),J352+I352/10,"")</f>
        <v/>
      </c>
      <c r="L352" s="2" t="inlineStr">
        <is>
          <t>estimat</t>
        </is>
      </c>
      <c r="M352" s="2" t="inlineStr"/>
      <c r="N352" s="2" t="inlineStr"/>
    </row>
    <row r="353">
      <c r="A353" s="2" t="inlineStr">
        <is>
          <t>LG</t>
        </is>
      </c>
      <c r="B353" s="2" t="inlineStr">
        <is>
          <t>QNED93</t>
        </is>
      </c>
      <c r="C353" s="2" t="inlineStr">
        <is>
          <t>QNED93 (2026)</t>
        </is>
      </c>
      <c r="D353" s="2" t="inlineStr">
        <is>
          <t>75QNED93B6A</t>
        </is>
      </c>
      <c r="E353" s="3" t="n">
        <v>75</v>
      </c>
      <c r="F353" s="3" t="n">
        <v>2026</v>
      </c>
      <c r="G353" s="4" t="n">
        <v>95.5</v>
      </c>
      <c r="H353" s="3" t="n">
        <v>400</v>
      </c>
      <c r="I353" s="3" t="n">
        <v>300</v>
      </c>
      <c r="J353" s="4" t="n"/>
      <c r="K353" s="4">
        <f>IF(ISNUMBER(J353),J353+I353/10,"")</f>
        <v/>
      </c>
      <c r="L353" s="2" t="inlineStr">
        <is>
          <t>estimat</t>
        </is>
      </c>
      <c r="M353" s="2" t="inlineStr"/>
      <c r="N353" s="2" t="inlineStr"/>
    </row>
    <row r="354">
      <c r="A354" s="2" t="inlineStr">
        <is>
          <t>LG</t>
        </is>
      </c>
      <c r="B354" s="2" t="inlineStr">
        <is>
          <t>QNED93</t>
        </is>
      </c>
      <c r="C354" s="2" t="inlineStr">
        <is>
          <t>QNED93</t>
        </is>
      </c>
      <c r="D354" s="2" t="inlineStr">
        <is>
          <t>65QNED93A6A, 65QNED93A6A1</t>
        </is>
      </c>
      <c r="E354" s="3" t="n">
        <v>65</v>
      </c>
      <c r="F354" s="3" t="n">
        <v>2026</v>
      </c>
      <c r="G354" s="4" t="n">
        <v>83</v>
      </c>
      <c r="H354" s="3" t="n">
        <v>400</v>
      </c>
      <c r="I354" s="3" t="n">
        <v>300</v>
      </c>
      <c r="J354" s="4" t="n">
        <v>14.2</v>
      </c>
      <c r="K354" s="4">
        <f>IF(ISNUMBER(J354),J354+I354/10,"")</f>
        <v/>
      </c>
      <c r="L354" s="2" t="inlineStr">
        <is>
          <t>billedmålt</t>
        </is>
      </c>
      <c r="M354" s="2" t="inlineStr">
        <is>
          <t>Which?</t>
        </is>
      </c>
      <c r="N354" s="2" t="inlineStr">
        <is>
          <t>Billedmålt på Which?-foto: nederste VESA-hul 14,2 cm fra underkant, målt ud fra VESA 400×300 som skala. Usikkerhed ca. ±1 cm.</t>
        </is>
      </c>
    </row>
    <row r="355">
      <c r="A355" s="2" t="inlineStr">
        <is>
          <t>LG</t>
        </is>
      </c>
      <c r="B355" s="2" t="inlineStr">
        <is>
          <t>QNED93</t>
        </is>
      </c>
      <c r="C355" s="2" t="inlineStr">
        <is>
          <t>QNED93 (2026)</t>
        </is>
      </c>
      <c r="D355" s="2" t="inlineStr">
        <is>
          <t>65QNED93B6A</t>
        </is>
      </c>
      <c r="E355" s="3" t="n">
        <v>65</v>
      </c>
      <c r="F355" s="3" t="n">
        <v>2026</v>
      </c>
      <c r="G355" s="4" t="n">
        <v>83</v>
      </c>
      <c r="H355" s="3" t="n">
        <v>400</v>
      </c>
      <c r="I355" s="3" t="n">
        <v>300</v>
      </c>
      <c r="J355" s="4" t="n">
        <v>14.5</v>
      </c>
      <c r="K355" s="4">
        <f>IF(ISNUMBER(J355),J355+I355/10,"")</f>
        <v/>
      </c>
      <c r="L355" s="2" t="inlineStr">
        <is>
          <t>billedmålt</t>
        </is>
      </c>
      <c r="M355" s="2" t="inlineStr">
        <is>
          <t>LG</t>
        </is>
      </c>
      <c r="N355" s="2" t="inlineStr">
        <is>
          <t>Billedmålt på LG-foto: nederste VESA-hul 14,5 cm fra underkant, målt ud fra VESA 400×300 som skala. Usikkerhed ca. ±1 cm.</t>
        </is>
      </c>
    </row>
    <row r="356">
      <c r="A356" s="2" t="inlineStr">
        <is>
          <t>LG</t>
        </is>
      </c>
      <c r="B356" s="2" t="inlineStr">
        <is>
          <t>QNED93</t>
        </is>
      </c>
      <c r="C356" s="2" t="inlineStr">
        <is>
          <t>QNED93</t>
        </is>
      </c>
      <c r="D356" s="2" t="inlineStr">
        <is>
          <t>55QNED93A6A, 55QNED93A6A1</t>
        </is>
      </c>
      <c r="E356" s="3" t="n">
        <v>55</v>
      </c>
      <c r="F356" s="3" t="n">
        <v>2026</v>
      </c>
      <c r="G356" s="4" t="n">
        <v>70.90000000000001</v>
      </c>
      <c r="H356" s="3" t="n">
        <v>300</v>
      </c>
      <c r="I356" s="3" t="n">
        <v>300</v>
      </c>
      <c r="J356" s="4" t="n">
        <v>8.9</v>
      </c>
      <c r="K356" s="4">
        <f>IF(ISNUMBER(J356),J356+I356/10,"")</f>
        <v/>
      </c>
      <c r="L356" s="2" t="inlineStr">
        <is>
          <t>billedmålt</t>
        </is>
      </c>
      <c r="M356" s="2" t="inlineStr">
        <is>
          <t>Which?</t>
        </is>
      </c>
      <c r="N356" s="2" t="inlineStr">
        <is>
          <t>Billedmålt på Which?-foto: nederste VESA-hul 8,9 cm fra underkant, målt ud fra VESA 300×300 som skala. Usikkerhed ca. ±1 cm.</t>
        </is>
      </c>
    </row>
    <row r="357">
      <c r="A357" s="2" t="inlineStr">
        <is>
          <t>LG</t>
        </is>
      </c>
      <c r="B357" s="2" t="inlineStr">
        <is>
          <t>QNED93</t>
        </is>
      </c>
      <c r="C357" s="2" t="inlineStr">
        <is>
          <t>QNED93 (2026)</t>
        </is>
      </c>
      <c r="D357" s="2" t="inlineStr">
        <is>
          <t>55QNED93B6A</t>
        </is>
      </c>
      <c r="E357" s="3" t="n">
        <v>55</v>
      </c>
      <c r="F357" s="3" t="n">
        <v>2026</v>
      </c>
      <c r="G357" s="4" t="n">
        <v>70.90000000000001</v>
      </c>
      <c r="H357" s="3" t="n">
        <v>300</v>
      </c>
      <c r="I357" s="3" t="n">
        <v>300</v>
      </c>
      <c r="J357" s="4" t="n"/>
      <c r="K357" s="4">
        <f>IF(ISNUMBER(J357),J357+I357/10,"")</f>
        <v/>
      </c>
      <c r="L357" s="2" t="inlineStr">
        <is>
          <t>estimat</t>
        </is>
      </c>
      <c r="M357" s="2" t="inlineStr"/>
      <c r="N357" s="2" t="inlineStr"/>
    </row>
    <row r="358">
      <c r="A358" s="2" t="inlineStr">
        <is>
          <t>LG</t>
        </is>
      </c>
      <c r="B358" s="2" t="inlineStr">
        <is>
          <t>QNED99</t>
        </is>
      </c>
      <c r="C358" s="2" t="inlineStr">
        <is>
          <t>QNED99</t>
        </is>
      </c>
      <c r="D358" s="2" t="inlineStr">
        <is>
          <t>86QNED99T9B</t>
        </is>
      </c>
      <c r="E358" s="3" t="n">
        <v>86</v>
      </c>
      <c r="F358" s="3" t="n">
        <v>2026</v>
      </c>
      <c r="G358" s="4" t="n">
        <v>109.8</v>
      </c>
      <c r="H358" s="3" t="n">
        <v>600</v>
      </c>
      <c r="I358" s="3" t="n">
        <v>400</v>
      </c>
      <c r="J358" s="4" t="n">
        <v>27.1</v>
      </c>
      <c r="K358" s="4">
        <f>IF(ISNUMBER(J358),J358+I358/10,"")</f>
        <v/>
      </c>
      <c r="L358" s="2" t="inlineStr">
        <is>
          <t>billedmålt</t>
        </is>
      </c>
      <c r="M358" s="2" t="inlineStr">
        <is>
          <t>LG</t>
        </is>
      </c>
      <c r="N358" s="2" t="inlineStr">
        <is>
          <t>Billedmålt på LG-foto: nederste VESA-hul 27,1 cm fra underkant, målt ud fra VESA 600×400 som skala. Usikkerhed ca. ±1 cm.</t>
        </is>
      </c>
    </row>
    <row r="359">
      <c r="A359" s="2" t="inlineStr">
        <is>
          <t>LG</t>
        </is>
      </c>
      <c r="B359" s="2" t="inlineStr">
        <is>
          <t>QNED99</t>
        </is>
      </c>
      <c r="C359" s="2" t="inlineStr">
        <is>
          <t>QNED99</t>
        </is>
      </c>
      <c r="D359" s="2" t="inlineStr">
        <is>
          <t>75QNED99T9B</t>
        </is>
      </c>
      <c r="E359" s="3" t="n">
        <v>75</v>
      </c>
      <c r="F359" s="3" t="n">
        <v>2026</v>
      </c>
      <c r="G359" s="4" t="n">
        <v>95.8</v>
      </c>
      <c r="H359" s="3" t="n">
        <v>400</v>
      </c>
      <c r="I359" s="3" t="n">
        <v>400</v>
      </c>
      <c r="J359" s="4" t="n">
        <v>25.7</v>
      </c>
      <c r="K359" s="4">
        <f>IF(ISNUMBER(J359),J359+I359/10,"")</f>
        <v/>
      </c>
      <c r="L359" s="2" t="inlineStr">
        <is>
          <t>billedmålt</t>
        </is>
      </c>
      <c r="M359" s="2" t="inlineStr">
        <is>
          <t>LG</t>
        </is>
      </c>
      <c r="N359" s="2" t="inlineStr">
        <is>
          <t>Billedmålt på LG-foto: nederste VESA-hul 25,7 cm fra underkant, målt ud fra VESA 400×400 som skala. Usikkerhed ca. ±1 cm.</t>
        </is>
      </c>
    </row>
    <row r="360">
      <c r="A360" s="2" t="inlineStr">
        <is>
          <t>LG</t>
        </is>
      </c>
      <c r="B360" s="2" t="inlineStr">
        <is>
          <t>UN71</t>
        </is>
      </c>
      <c r="C360" s="2" t="inlineStr">
        <is>
          <t>UHD 4K UN7100</t>
        </is>
      </c>
      <c r="D360" s="2" t="inlineStr">
        <is>
          <t>55UN71006LB, 55UN71003LB, 55UN71006LB1, 55UN71006LB0</t>
        </is>
      </c>
      <c r="E360" s="3" t="n">
        <v>55</v>
      </c>
      <c r="F360" s="3" t="n">
        <v>2020</v>
      </c>
      <c r="G360" s="4" t="n">
        <v>70.5</v>
      </c>
      <c r="H360" s="3" t="n">
        <v>300</v>
      </c>
      <c r="I360" s="3" t="n">
        <v>300</v>
      </c>
      <c r="J360" s="4" t="n"/>
      <c r="K360" s="4">
        <f>IF(ISNUMBER(J360),J360+I360/10,"")</f>
        <v/>
      </c>
      <c r="L360" s="2" t="inlineStr">
        <is>
          <t>estimat</t>
        </is>
      </c>
      <c r="M360" s="2" t="inlineStr"/>
      <c r="N360" s="2" t="inlineStr"/>
    </row>
    <row r="361">
      <c r="A361" s="2" t="inlineStr">
        <is>
          <t>LG</t>
        </is>
      </c>
      <c r="B361" s="2" t="inlineStr">
        <is>
          <t>UQ75</t>
        </is>
      </c>
      <c r="C361" s="2" t="inlineStr">
        <is>
          <t>UQ75</t>
        </is>
      </c>
      <c r="D361" s="2" t="inlineStr">
        <is>
          <t>55UQ75006LF, 55UQ75009LF, 55UQ75006LF1, 55UQ75006LF0</t>
        </is>
      </c>
      <c r="E361" s="3" t="n">
        <v>55</v>
      </c>
      <c r="F361" s="3" t="n">
        <v>2022</v>
      </c>
      <c r="G361" s="4" t="n">
        <v>72.59999999999999</v>
      </c>
      <c r="H361" s="3" t="n">
        <v>300</v>
      </c>
      <c r="I361" s="3" t="n">
        <v>300</v>
      </c>
      <c r="J361" s="4" t="n"/>
      <c r="K361" s="4">
        <f>IF(ISNUMBER(J361),J361+I361/10,"")</f>
        <v/>
      </c>
      <c r="L361" s="2" t="inlineStr">
        <is>
          <t>estimat</t>
        </is>
      </c>
      <c r="M361" s="2" t="inlineStr"/>
      <c r="N361" s="2" t="inlineStr"/>
    </row>
    <row r="362">
      <c r="A362" s="2" t="inlineStr">
        <is>
          <t>LG</t>
        </is>
      </c>
      <c r="B362" s="2" t="inlineStr">
        <is>
          <t>UQ75</t>
        </is>
      </c>
      <c r="C362" s="2" t="inlineStr">
        <is>
          <t>UQ75</t>
        </is>
      </c>
      <c r="D362" s="2" t="inlineStr">
        <is>
          <t>50UQ75006LF, 50UQ75006LF0, 50UQ75009LF</t>
        </is>
      </c>
      <c r="E362" s="3" t="n">
        <v>50</v>
      </c>
      <c r="F362" s="3" t="n">
        <v>2022</v>
      </c>
      <c r="G362" s="4" t="n">
        <v>66.3</v>
      </c>
      <c r="H362" s="3" t="n">
        <v>300</v>
      </c>
      <c r="I362" s="3" t="n">
        <v>300</v>
      </c>
      <c r="J362" s="4" t="n"/>
      <c r="K362" s="4">
        <f>IF(ISNUMBER(J362),J362+I362/10,"")</f>
        <v/>
      </c>
      <c r="L362" s="2" t="inlineStr">
        <is>
          <t>estimat</t>
        </is>
      </c>
      <c r="M362" s="2" t="inlineStr"/>
      <c r="N362" s="2" t="inlineStr">
        <is>
          <t>VESA 200×200 → 300×300 efter LG's produktside.</t>
        </is>
      </c>
    </row>
    <row r="363">
      <c r="A363" s="2" t="inlineStr">
        <is>
          <t>LG</t>
        </is>
      </c>
      <c r="B363" s="2" t="inlineStr">
        <is>
          <t>UQ75</t>
        </is>
      </c>
      <c r="C363" s="2" t="inlineStr">
        <is>
          <t>UQ75</t>
        </is>
      </c>
      <c r="D363" s="2" t="inlineStr">
        <is>
          <t>43UQ75006LF, 43UQ75006LF0, 43UQ75009LF</t>
        </is>
      </c>
      <c r="E363" s="3" t="n">
        <v>43</v>
      </c>
      <c r="F363" s="3" t="n">
        <v>2022</v>
      </c>
      <c r="G363" s="4" t="n">
        <v>57.2</v>
      </c>
      <c r="H363" s="3" t="n">
        <v>200</v>
      </c>
      <c r="I363" s="3" t="n">
        <v>200</v>
      </c>
      <c r="J363" s="4" t="n">
        <v>20.4</v>
      </c>
      <c r="K363" s="4">
        <f>IF(ISNUMBER(J363),J363+I363/10,"")</f>
        <v/>
      </c>
      <c r="L363" s="2" t="inlineStr">
        <is>
          <t>billedmålt</t>
        </is>
      </c>
      <c r="M363" s="2" t="inlineStr">
        <is>
          <t>LG</t>
        </is>
      </c>
      <c r="N363" s="2" t="inlineStr">
        <is>
          <t>Billedmålt på LG-foto: nederste VESA-hul 20,4 cm fra underkant, målt ud fra VESA 200×200 som skala. Usikkerhed ca. ±1 cm.</t>
        </is>
      </c>
    </row>
    <row r="364">
      <c r="A364" s="2" t="inlineStr">
        <is>
          <t>LG</t>
        </is>
      </c>
      <c r="B364" s="2" t="inlineStr">
        <is>
          <t>UQ80</t>
        </is>
      </c>
      <c r="C364" s="2" t="inlineStr">
        <is>
          <t>UQ80</t>
        </is>
      </c>
      <c r="D364" s="2" t="inlineStr">
        <is>
          <t>86UQ80006LB, 86UQ80009LB</t>
        </is>
      </c>
      <c r="E364" s="3" t="n">
        <v>86</v>
      </c>
      <c r="F364" s="3" t="n">
        <v>2022</v>
      </c>
      <c r="G364" s="4" t="n">
        <v>110.4</v>
      </c>
      <c r="H364" s="3" t="n">
        <v>600</v>
      </c>
      <c r="I364" s="3" t="n">
        <v>400</v>
      </c>
      <c r="J364" s="4" t="n"/>
      <c r="K364" s="4">
        <f>IF(ISNUMBER(J364),J364+I364/10,"")</f>
        <v/>
      </c>
      <c r="L364" s="2" t="inlineStr">
        <is>
          <t>estimat</t>
        </is>
      </c>
      <c r="M364" s="2" t="inlineStr"/>
      <c r="N364" s="2" t="inlineStr"/>
    </row>
    <row r="365">
      <c r="A365" s="2" t="inlineStr">
        <is>
          <t>LG</t>
        </is>
      </c>
      <c r="B365" s="2" t="inlineStr">
        <is>
          <t>UQ80</t>
        </is>
      </c>
      <c r="C365" s="2" t="inlineStr">
        <is>
          <t>UQ80</t>
        </is>
      </c>
      <c r="D365" s="2" t="inlineStr">
        <is>
          <t>75UQ80006LB, 75UQ80009LB</t>
        </is>
      </c>
      <c r="E365" s="3" t="n">
        <v>75</v>
      </c>
      <c r="F365" s="3" t="n">
        <v>2022</v>
      </c>
      <c r="G365" s="4" t="n">
        <v>96.40000000000001</v>
      </c>
      <c r="H365" s="3" t="n">
        <v>400</v>
      </c>
      <c r="I365" s="3" t="n">
        <v>400</v>
      </c>
      <c r="J365" s="4" t="n"/>
      <c r="K365" s="4">
        <f>IF(ISNUMBER(J365),J365+I365/10,"")</f>
        <v/>
      </c>
      <c r="L365" s="2" t="inlineStr">
        <is>
          <t>estimat</t>
        </is>
      </c>
      <c r="M365" s="2" t="inlineStr"/>
      <c r="N365" s="2" t="inlineStr"/>
    </row>
    <row r="366">
      <c r="A366" s="2" t="inlineStr">
        <is>
          <t>LG</t>
        </is>
      </c>
      <c r="B366" s="2" t="inlineStr">
        <is>
          <t>UQ80</t>
        </is>
      </c>
      <c r="C366" s="2" t="inlineStr">
        <is>
          <t>UQ80</t>
        </is>
      </c>
      <c r="D366" s="2" t="inlineStr">
        <is>
          <t>65UQ80006LB, 65UQ80009LB, 65UQ80006LB0, 65UQ80006LB1</t>
        </is>
      </c>
      <c r="E366" s="3" t="n">
        <v>65</v>
      </c>
      <c r="F366" s="3" t="n">
        <v>2022</v>
      </c>
      <c r="G366" s="4" t="n">
        <v>83.8</v>
      </c>
      <c r="H366" s="3" t="n">
        <v>300</v>
      </c>
      <c r="I366" s="3" t="n">
        <v>300</v>
      </c>
      <c r="J366" s="4" t="n">
        <v>15.9</v>
      </c>
      <c r="K366" s="4">
        <f>IF(ISNUMBER(J366),J366+I366/10,"")</f>
        <v/>
      </c>
      <c r="L366" s="2" t="inlineStr">
        <is>
          <t>billedmålt</t>
        </is>
      </c>
      <c r="M366" s="2" t="inlineStr">
        <is>
          <t>Icecat</t>
        </is>
      </c>
      <c r="N366" s="2" t="inlineStr">
        <is>
          <t>Billedmålt på Icecat-foto: nederste VESA-hul 15,9 cm fra underkant, målt ud fra VESA 300×300 som skala. Usikkerhed ca. ±1 cm. Billedkontrol (LG): 16 cm.</t>
        </is>
      </c>
    </row>
    <row r="367">
      <c r="A367" s="2" t="inlineStr">
        <is>
          <t>LG</t>
        </is>
      </c>
      <c r="B367" s="2" t="inlineStr">
        <is>
          <t>UQ80</t>
        </is>
      </c>
      <c r="C367" s="2" t="inlineStr">
        <is>
          <t>UQ80</t>
        </is>
      </c>
      <c r="D367" s="2" t="inlineStr">
        <is>
          <t>55UQ80006LB, 55UQ80009LB, 55UQ80006LB1, 55UQ80006LB0</t>
        </is>
      </c>
      <c r="E367" s="3" t="n">
        <v>55</v>
      </c>
      <c r="F367" s="3" t="n">
        <v>2022</v>
      </c>
      <c r="G367" s="4" t="n">
        <v>71.5</v>
      </c>
      <c r="H367" s="3" t="n">
        <v>300</v>
      </c>
      <c r="I367" s="3" t="n">
        <v>300</v>
      </c>
      <c r="J367" s="4" t="n"/>
      <c r="K367" s="4">
        <f>IF(ISNUMBER(J367),J367+I367/10,"")</f>
        <v/>
      </c>
      <c r="L367" s="2" t="inlineStr">
        <is>
          <t>estimat</t>
        </is>
      </c>
      <c r="M367" s="2" t="inlineStr"/>
      <c r="N367" s="2" t="inlineStr"/>
    </row>
    <row r="368">
      <c r="A368" s="2" t="inlineStr">
        <is>
          <t>LG</t>
        </is>
      </c>
      <c r="B368" s="2" t="inlineStr">
        <is>
          <t>UQ80</t>
        </is>
      </c>
      <c r="C368" s="2" t="inlineStr">
        <is>
          <t>UQ80</t>
        </is>
      </c>
      <c r="D368" s="2" t="inlineStr">
        <is>
          <t>50UQ80006LB, 50UQ80009LB, 50UQ80006LB1, 50UQ80006LB0</t>
        </is>
      </c>
      <c r="E368" s="3" t="n">
        <v>50</v>
      </c>
      <c r="F368" s="3" t="n">
        <v>2022</v>
      </c>
      <c r="G368" s="4" t="n">
        <v>65.09999999999999</v>
      </c>
      <c r="H368" s="3" t="n">
        <v>200</v>
      </c>
      <c r="I368" s="3" t="n">
        <v>200</v>
      </c>
      <c r="J368" s="4" t="n"/>
      <c r="K368" s="4">
        <f>IF(ISNUMBER(J368),J368+I368/10,"")</f>
        <v/>
      </c>
      <c r="L368" s="2" t="inlineStr">
        <is>
          <t>estimat</t>
        </is>
      </c>
      <c r="M368" s="2" t="inlineStr"/>
      <c r="N368" s="2" t="inlineStr"/>
    </row>
    <row r="369">
      <c r="A369" s="2" t="inlineStr">
        <is>
          <t>LG</t>
        </is>
      </c>
      <c r="B369" s="2" t="inlineStr">
        <is>
          <t>UQ80</t>
        </is>
      </c>
      <c r="C369" s="2" t="inlineStr">
        <is>
          <t>UQ80</t>
        </is>
      </c>
      <c r="D369" s="2" t="inlineStr">
        <is>
          <t>43UQ80006LB, 43UQ80006LB0, 43UQ80009LB</t>
        </is>
      </c>
      <c r="E369" s="3" t="n">
        <v>43</v>
      </c>
      <c r="F369" s="3" t="n">
        <v>2022</v>
      </c>
      <c r="G369" s="4" t="n">
        <v>56.4</v>
      </c>
      <c r="H369" s="3" t="n">
        <v>200</v>
      </c>
      <c r="I369" s="3" t="n">
        <v>200</v>
      </c>
      <c r="J369" s="4" t="n">
        <v>21.2</v>
      </c>
      <c r="K369" s="4">
        <f>IF(ISNUMBER(J369),J369+I369/10,"")</f>
        <v/>
      </c>
      <c r="L369" s="2" t="inlineStr">
        <is>
          <t>billedmålt</t>
        </is>
      </c>
      <c r="M369" s="2" t="inlineStr">
        <is>
          <t>Icecat</t>
        </is>
      </c>
      <c r="N369" s="2" t="inlineStr">
        <is>
          <t>Billedmålt på Icecat-foto: nederste VESA-hul 21,2 cm fra underkant, målt ud fra VESA 200×200 som skala. Usikkerhed ca. ±1 cm. Billedkontrol (LG): 21,2 cm.</t>
        </is>
      </c>
    </row>
    <row r="370">
      <c r="A370" s="2" t="inlineStr">
        <is>
          <t>LG</t>
        </is>
      </c>
      <c r="B370" s="2" t="inlineStr">
        <is>
          <t>UQ81</t>
        </is>
      </c>
      <c r="C370" s="2" t="inlineStr">
        <is>
          <t>UQ81</t>
        </is>
      </c>
      <c r="D370" s="2" t="inlineStr">
        <is>
          <t>75UQ81006LB, 75UQ81009LB</t>
        </is>
      </c>
      <c r="E370" s="3" t="n">
        <v>75</v>
      </c>
      <c r="F370" s="3" t="n">
        <v>2022</v>
      </c>
      <c r="G370" s="4" t="n">
        <v>96.40000000000001</v>
      </c>
      <c r="H370" s="3" t="n">
        <v>400</v>
      </c>
      <c r="I370" s="3" t="n">
        <v>400</v>
      </c>
      <c r="J370" s="4" t="n"/>
      <c r="K370" s="4">
        <f>IF(ISNUMBER(J370),J370+I370/10,"")</f>
        <v/>
      </c>
      <c r="L370" s="2" t="inlineStr">
        <is>
          <t>estimat</t>
        </is>
      </c>
      <c r="M370" s="2" t="inlineStr"/>
      <c r="N370" s="2" t="inlineStr"/>
    </row>
    <row r="371">
      <c r="A371" s="2" t="inlineStr">
        <is>
          <t>LG</t>
        </is>
      </c>
      <c r="B371" s="2" t="inlineStr">
        <is>
          <t>UQ81</t>
        </is>
      </c>
      <c r="C371" s="2" t="inlineStr">
        <is>
          <t>UQ81</t>
        </is>
      </c>
      <c r="D371" s="2" t="inlineStr">
        <is>
          <t>70UQ81006LB, 70UQ81009LB, 70UQ81006LB1, 70UQ81006LB0</t>
        </is>
      </c>
      <c r="E371" s="3" t="n">
        <v>70</v>
      </c>
      <c r="F371" s="3" t="n">
        <v>2022</v>
      </c>
      <c r="G371" s="4" t="n">
        <v>90.7</v>
      </c>
      <c r="H371" s="3" t="n">
        <v>400</v>
      </c>
      <c r="I371" s="3" t="n">
        <v>400</v>
      </c>
      <c r="J371" s="4" t="n"/>
      <c r="K371" s="4">
        <f>IF(ISNUMBER(J371),J371+I371/10,"")</f>
        <v/>
      </c>
      <c r="L371" s="2" t="inlineStr">
        <is>
          <t>estimat</t>
        </is>
      </c>
      <c r="M371" s="2" t="inlineStr"/>
      <c r="N371" s="2" t="inlineStr"/>
    </row>
    <row r="372">
      <c r="A372" s="2" t="inlineStr">
        <is>
          <t>LG</t>
        </is>
      </c>
      <c r="B372" s="2" t="inlineStr">
        <is>
          <t>UQ81</t>
        </is>
      </c>
      <c r="C372" s="2" t="inlineStr">
        <is>
          <t>UQ81</t>
        </is>
      </c>
      <c r="D372" s="2" t="inlineStr">
        <is>
          <t>65UQ81006LB, 65UQ81009LB, 65UQ81006LB0</t>
        </is>
      </c>
      <c r="E372" s="3" t="n">
        <v>65</v>
      </c>
      <c r="F372" s="3" t="n">
        <v>2022</v>
      </c>
      <c r="G372" s="4" t="n">
        <v>83.8</v>
      </c>
      <c r="H372" s="3" t="n">
        <v>300</v>
      </c>
      <c r="I372" s="3" t="n">
        <v>300</v>
      </c>
      <c r="J372" s="4" t="n">
        <v>15.9</v>
      </c>
      <c r="K372" s="4">
        <f>IF(ISNUMBER(J372),J372+I372/10,"")</f>
        <v/>
      </c>
      <c r="L372" s="2" t="inlineStr">
        <is>
          <t>billedmålt</t>
        </is>
      </c>
      <c r="M372" s="2" t="inlineStr">
        <is>
          <t>Icecat</t>
        </is>
      </c>
      <c r="N372" s="2" t="inlineStr">
        <is>
          <t>Billedmålt på Icecat-foto: nederste VESA-hul 15,9 cm fra underkant, målt ud fra VESA 300×300 som skala. Usikkerhed ca. ±1 cm. Billedkontrol (LG): 15,9 cm.</t>
        </is>
      </c>
    </row>
    <row r="373">
      <c r="A373" s="2" t="inlineStr">
        <is>
          <t>LG</t>
        </is>
      </c>
      <c r="B373" s="2" t="inlineStr">
        <is>
          <t>UQ81</t>
        </is>
      </c>
      <c r="C373" s="2" t="inlineStr">
        <is>
          <t>UQ81</t>
        </is>
      </c>
      <c r="D373" s="2" t="inlineStr">
        <is>
          <t>60UQ81006LB, 60UQ81006LB0, 60UQ81006LB1</t>
        </is>
      </c>
      <c r="E373" s="3" t="n">
        <v>60</v>
      </c>
      <c r="F373" s="3" t="n">
        <v>2022</v>
      </c>
      <c r="G373" s="4" t="n">
        <v>78.3</v>
      </c>
      <c r="H373" s="3" t="n">
        <v>300</v>
      </c>
      <c r="I373" s="3" t="n">
        <v>300</v>
      </c>
      <c r="J373" s="4" t="n"/>
      <c r="K373" s="4">
        <f>IF(ISNUMBER(J373),J373+I373/10,"")</f>
        <v/>
      </c>
      <c r="L373" s="2" t="inlineStr">
        <is>
          <t>estimat</t>
        </is>
      </c>
      <c r="M373" s="2" t="inlineStr"/>
      <c r="N373" s="2" t="inlineStr"/>
    </row>
    <row r="374">
      <c r="A374" s="2" t="inlineStr">
        <is>
          <t>LG</t>
        </is>
      </c>
      <c r="B374" s="2" t="inlineStr">
        <is>
          <t>UQ81</t>
        </is>
      </c>
      <c r="C374" s="2" t="inlineStr">
        <is>
          <t>UQ81</t>
        </is>
      </c>
      <c r="D374" s="2" t="inlineStr">
        <is>
          <t>55UQ81006LB, 55UQ81006LB1, 55UQ81009LB, 55UQ81006LB0</t>
        </is>
      </c>
      <c r="E374" s="3" t="n">
        <v>55</v>
      </c>
      <c r="F374" s="3" t="n">
        <v>2022</v>
      </c>
      <c r="G374" s="4" t="n">
        <v>71.5</v>
      </c>
      <c r="H374" s="3" t="n">
        <v>300</v>
      </c>
      <c r="I374" s="3" t="n">
        <v>300</v>
      </c>
      <c r="J374" s="4" t="n"/>
      <c r="K374" s="4">
        <f>IF(ISNUMBER(J374),J374+I374/10,"")</f>
        <v/>
      </c>
      <c r="L374" s="2" t="inlineStr">
        <is>
          <t>estimat</t>
        </is>
      </c>
      <c r="M374" s="2" t="inlineStr"/>
      <c r="N374" s="2" t="inlineStr"/>
    </row>
    <row r="375">
      <c r="A375" s="2" t="inlineStr">
        <is>
          <t>LG</t>
        </is>
      </c>
      <c r="B375" s="2" t="inlineStr">
        <is>
          <t>UQ81</t>
        </is>
      </c>
      <c r="C375" s="2" t="inlineStr">
        <is>
          <t>UQ81</t>
        </is>
      </c>
      <c r="D375" s="2" t="inlineStr">
        <is>
          <t>50UQ81006LB, 50UQ81009LB, 50UQ81006LB0, 50UQ81006LB1</t>
        </is>
      </c>
      <c r="E375" s="3" t="n">
        <v>50</v>
      </c>
      <c r="F375" s="3" t="n">
        <v>2022</v>
      </c>
      <c r="G375" s="4" t="n">
        <v>65.09999999999999</v>
      </c>
      <c r="H375" s="3" t="n">
        <v>300</v>
      </c>
      <c r="I375" s="3" t="n">
        <v>300</v>
      </c>
      <c r="J375" s="4" t="n"/>
      <c r="K375" s="4">
        <f>IF(ISNUMBER(J375),J375+I375/10,"")</f>
        <v/>
      </c>
      <c r="L375" s="2" t="inlineStr">
        <is>
          <t>estimat</t>
        </is>
      </c>
      <c r="M375" s="2" t="inlineStr"/>
      <c r="N375" s="2" t="inlineStr">
        <is>
          <t>VESA 200×200 → 300×300 efter LG's produktside.</t>
        </is>
      </c>
    </row>
    <row r="376">
      <c r="A376" s="2" t="inlineStr">
        <is>
          <t>LG</t>
        </is>
      </c>
      <c r="B376" s="2" t="inlineStr">
        <is>
          <t>UQ81</t>
        </is>
      </c>
      <c r="C376" s="2" t="inlineStr">
        <is>
          <t>UQ81</t>
        </is>
      </c>
      <c r="D376" s="2" t="inlineStr">
        <is>
          <t>43UQ81006LB, 43UQ81006LB0, 43UQ81009LB</t>
        </is>
      </c>
      <c r="E376" s="3" t="n">
        <v>43</v>
      </c>
      <c r="F376" s="3" t="n">
        <v>2022</v>
      </c>
      <c r="G376" s="4" t="n">
        <v>56.4</v>
      </c>
      <c r="H376" s="3" t="n">
        <v>200</v>
      </c>
      <c r="I376" s="3" t="n">
        <v>200</v>
      </c>
      <c r="J376" s="4" t="n"/>
      <c r="K376" s="4">
        <f>IF(ISNUMBER(J376),J376+I376/10,"")</f>
        <v/>
      </c>
      <c r="L376" s="2" t="inlineStr">
        <is>
          <t>estimat</t>
        </is>
      </c>
      <c r="M376" s="2" t="inlineStr"/>
      <c r="N376" s="2" t="inlineStr"/>
    </row>
    <row r="377">
      <c r="A377" s="2" t="inlineStr">
        <is>
          <t>LG</t>
        </is>
      </c>
      <c r="B377" s="2" t="inlineStr">
        <is>
          <t>UQ91</t>
        </is>
      </c>
      <c r="C377" s="2" t="inlineStr">
        <is>
          <t>UQ91</t>
        </is>
      </c>
      <c r="D377" s="2" t="inlineStr">
        <is>
          <t>86UQ91006LA, 86UQ91009LA</t>
        </is>
      </c>
      <c r="E377" s="3" t="n">
        <v>86</v>
      </c>
      <c r="F377" s="3" t="n">
        <v>2022</v>
      </c>
      <c r="G377" s="4" t="n">
        <v>110.4</v>
      </c>
      <c r="H377" s="3" t="n">
        <v>600</v>
      </c>
      <c r="I377" s="3" t="n">
        <v>400</v>
      </c>
      <c r="J377" s="4" t="n"/>
      <c r="K377" s="4">
        <f>IF(ISNUMBER(J377),J377+I377/10,"")</f>
        <v/>
      </c>
      <c r="L377" s="2" t="inlineStr">
        <is>
          <t>estimat</t>
        </is>
      </c>
      <c r="M377" s="2" t="inlineStr"/>
      <c r="N377" s="2" t="inlineStr"/>
    </row>
    <row r="378">
      <c r="A378" s="2" t="inlineStr">
        <is>
          <t>LG</t>
        </is>
      </c>
      <c r="B378" s="2" t="inlineStr">
        <is>
          <t>UQ91</t>
        </is>
      </c>
      <c r="C378" s="2" t="inlineStr">
        <is>
          <t>UQ91</t>
        </is>
      </c>
      <c r="D378" s="2" t="inlineStr">
        <is>
          <t>75UQ91006LA, 75UQ91009LA</t>
        </is>
      </c>
      <c r="E378" s="3" t="n">
        <v>75</v>
      </c>
      <c r="F378" s="3" t="n">
        <v>2022</v>
      </c>
      <c r="G378" s="4" t="n">
        <v>96.40000000000001</v>
      </c>
      <c r="H378" s="3" t="n">
        <v>400</v>
      </c>
      <c r="I378" s="3" t="n">
        <v>400</v>
      </c>
      <c r="J378" s="4" t="n"/>
      <c r="K378" s="4">
        <f>IF(ISNUMBER(J378),J378+I378/10,"")</f>
        <v/>
      </c>
      <c r="L378" s="2" t="inlineStr">
        <is>
          <t>estimat</t>
        </is>
      </c>
      <c r="M378" s="2" t="inlineStr"/>
      <c r="N378" s="2" t="inlineStr"/>
    </row>
    <row r="379">
      <c r="A379" s="2" t="inlineStr">
        <is>
          <t>LG</t>
        </is>
      </c>
      <c r="B379" s="2" t="inlineStr">
        <is>
          <t>UR73</t>
        </is>
      </c>
      <c r="C379" s="2" t="inlineStr">
        <is>
          <t>UR73 (2023)</t>
        </is>
      </c>
      <c r="D379" s="2" t="inlineStr">
        <is>
          <t>LG UR73 65″ 2023</t>
        </is>
      </c>
      <c r="E379" s="3" t="n">
        <v>65</v>
      </c>
      <c r="F379" s="3" t="n">
        <v>2023</v>
      </c>
      <c r="G379" s="4" t="n">
        <v>83.09999999999999</v>
      </c>
      <c r="H379" s="3" t="n">
        <v>400</v>
      </c>
      <c r="I379" s="3" t="n">
        <v>300</v>
      </c>
      <c r="J379" s="4" t="n">
        <v>12.6</v>
      </c>
      <c r="K379" s="4">
        <f>IF(ISNUMBER(J379),J379+I379/10,"")</f>
        <v/>
      </c>
      <c r="L379" s="2" t="inlineStr">
        <is>
          <t>producentens mål</t>
        </is>
      </c>
      <c r="M379" s="2" t="inlineStr">
        <is>
          <t>LG-tegning 2023</t>
        </is>
      </c>
      <c r="N379" s="2" t="inlineStr">
        <is>
          <t>LG's officielle bagside-tegning 2023: X1 = 126 mm. Højden er regnet som X1 + VESA + W (ca. 1 cm usikkerhed).</t>
        </is>
      </c>
    </row>
    <row r="380">
      <c r="A380" s="2" t="inlineStr">
        <is>
          <t>LG</t>
        </is>
      </c>
      <c r="B380" s="2" t="inlineStr">
        <is>
          <t>UR73</t>
        </is>
      </c>
      <c r="C380" s="2" t="inlineStr">
        <is>
          <t>UR73 (2023)</t>
        </is>
      </c>
      <c r="D380" s="2" t="inlineStr">
        <is>
          <t>LG UR73 55″ 2023</t>
        </is>
      </c>
      <c r="E380" s="3" t="n">
        <v>55</v>
      </c>
      <c r="F380" s="3" t="n">
        <v>2023</v>
      </c>
      <c r="G380" s="4" t="n">
        <v>70.90000000000001</v>
      </c>
      <c r="H380" s="3" t="n">
        <v>300</v>
      </c>
      <c r="I380" s="3" t="n">
        <v>300</v>
      </c>
      <c r="J380" s="4" t="n">
        <v>6.9</v>
      </c>
      <c r="K380" s="4">
        <f>IF(ISNUMBER(J380),J380+I380/10,"")</f>
        <v/>
      </c>
      <c r="L380" s="2" t="inlineStr">
        <is>
          <t>producentens mål</t>
        </is>
      </c>
      <c r="M380" s="2" t="inlineStr">
        <is>
          <t>LG-tegning 2023</t>
        </is>
      </c>
      <c r="N380" s="2" t="inlineStr">
        <is>
          <t>LG's officielle bagside-tegning 2023: X1 = 69 mm. Højden er regnet som X1 + VESA + W (ca. 1 cm usikkerhed).</t>
        </is>
      </c>
    </row>
    <row r="381">
      <c r="A381" s="2" t="inlineStr">
        <is>
          <t>LG</t>
        </is>
      </c>
      <c r="B381" s="2" t="inlineStr">
        <is>
          <t>UR73</t>
        </is>
      </c>
      <c r="C381" s="2" t="inlineStr">
        <is>
          <t>UR73 (2023)</t>
        </is>
      </c>
      <c r="D381" s="2" t="inlineStr">
        <is>
          <t>LG UR73 50″ 2023</t>
        </is>
      </c>
      <c r="E381" s="3" t="n">
        <v>50</v>
      </c>
      <c r="F381" s="3" t="n">
        <v>2023</v>
      </c>
      <c r="G381" s="4" t="n">
        <v>64.09999999999999</v>
      </c>
      <c r="H381" s="3" t="n">
        <v>300</v>
      </c>
      <c r="I381" s="3" t="n">
        <v>300</v>
      </c>
      <c r="J381" s="4" t="n">
        <v>6.6</v>
      </c>
      <c r="K381" s="4">
        <f>IF(ISNUMBER(J381),J381+I381/10,"")</f>
        <v/>
      </c>
      <c r="L381" s="2" t="inlineStr">
        <is>
          <t>producentens mål</t>
        </is>
      </c>
      <c r="M381" s="2" t="inlineStr">
        <is>
          <t>LG-tegning 2023</t>
        </is>
      </c>
      <c r="N381" s="2" t="inlineStr">
        <is>
          <t>LG's officielle bagside-tegning 2023: X1 = 66 mm. Højden er regnet som X1 + VESA + W (ca. 1 cm usikkerhed).</t>
        </is>
      </c>
    </row>
    <row r="382">
      <c r="A382" s="2" t="inlineStr">
        <is>
          <t>LG</t>
        </is>
      </c>
      <c r="B382" s="2" t="inlineStr">
        <is>
          <t>UR73</t>
        </is>
      </c>
      <c r="C382" s="2" t="inlineStr">
        <is>
          <t>UR73 (2023)</t>
        </is>
      </c>
      <c r="D382" s="2" t="inlineStr">
        <is>
          <t>LG UR73 43″ 2023</t>
        </is>
      </c>
      <c r="E382" s="3" t="n">
        <v>43</v>
      </c>
      <c r="F382" s="3" t="n">
        <v>2023</v>
      </c>
      <c r="G382" s="4" t="n">
        <v>55.5</v>
      </c>
      <c r="H382" s="3" t="n">
        <v>300</v>
      </c>
      <c r="I382" s="3" t="n">
        <v>300</v>
      </c>
      <c r="J382" s="4" t="n">
        <v>5.8</v>
      </c>
      <c r="K382" s="4">
        <f>IF(ISNUMBER(J382),J382+I382/10,"")</f>
        <v/>
      </c>
      <c r="L382" s="2" t="inlineStr">
        <is>
          <t>producentens mål</t>
        </is>
      </c>
      <c r="M382" s="2" t="inlineStr">
        <is>
          <t>LG-tegning 2023</t>
        </is>
      </c>
      <c r="N382" s="2" t="inlineStr">
        <is>
          <t>LG's officielle bagside-tegning 2023: X1 = 58 mm. Højden er regnet som X1 + VESA + W (ca. 1 cm usikkerhed).</t>
        </is>
      </c>
    </row>
    <row r="383">
      <c r="A383" s="2" t="inlineStr">
        <is>
          <t>LG</t>
        </is>
      </c>
      <c r="B383" s="2" t="inlineStr">
        <is>
          <t>UR75/UR77/UR78/UR80/UR87</t>
        </is>
      </c>
      <c r="C383" s="2" t="inlineStr">
        <is>
          <t>UR75/UR77/UR78/UR80/UR87 (2023)</t>
        </is>
      </c>
      <c r="D383" s="2" t="inlineStr">
        <is>
          <t>LG UR75/UR77/UR78/UR80/UR87 55″ 2023</t>
        </is>
      </c>
      <c r="E383" s="3" t="n">
        <v>55</v>
      </c>
      <c r="F383" s="3" t="n">
        <v>2023</v>
      </c>
      <c r="G383" s="4" t="n">
        <v>71.2</v>
      </c>
      <c r="H383" s="3" t="n">
        <v>300</v>
      </c>
      <c r="I383" s="3" t="n">
        <v>300</v>
      </c>
      <c r="J383" s="4" t="n">
        <v>15.9</v>
      </c>
      <c r="K383" s="4">
        <f>IF(ISNUMBER(J383),J383+I383/10,"")</f>
        <v/>
      </c>
      <c r="L383" s="2" t="inlineStr">
        <is>
          <t>producentens mål</t>
        </is>
      </c>
      <c r="M383" s="2" t="inlineStr">
        <is>
          <t>LG-tegning 2023</t>
        </is>
      </c>
      <c r="N383" s="2" t="inlineStr">
        <is>
          <t>LG's officielle bagside-tegning 2023: X1 = 159 mm. Højden er regnet som X1 + VESA + W (ca. 1 cm usikkerhed).</t>
        </is>
      </c>
    </row>
    <row r="384">
      <c r="A384" s="2" t="inlineStr">
        <is>
          <t>LG</t>
        </is>
      </c>
      <c r="B384" s="2" t="inlineStr">
        <is>
          <t>UR75/UR77/UR78/UR80/UR87</t>
        </is>
      </c>
      <c r="C384" s="2" t="inlineStr">
        <is>
          <t>UR75/UR77/UR78/UR80/UR87 (2023)</t>
        </is>
      </c>
      <c r="D384" s="2" t="inlineStr">
        <is>
          <t>LG UR75/UR77/UR78/UR80/UR87 43″ 2023</t>
        </is>
      </c>
      <c r="E384" s="3" t="n">
        <v>43</v>
      </c>
      <c r="F384" s="3" t="n">
        <v>2023</v>
      </c>
      <c r="G384" s="4" t="n">
        <v>56.2</v>
      </c>
      <c r="H384" s="3" t="n">
        <v>200</v>
      </c>
      <c r="I384" s="3" t="n">
        <v>200</v>
      </c>
      <c r="J384" s="4" t="n">
        <v>21.3</v>
      </c>
      <c r="K384" s="4">
        <f>IF(ISNUMBER(J384),J384+I384/10,"")</f>
        <v/>
      </c>
      <c r="L384" s="2" t="inlineStr">
        <is>
          <t>producentens mål</t>
        </is>
      </c>
      <c r="M384" s="2" t="inlineStr">
        <is>
          <t>LG-tegning 2023</t>
        </is>
      </c>
      <c r="N384" s="2" t="inlineStr">
        <is>
          <t>LG's officielle bagside-tegning 2023: X1 = 213 mm. Højden er regnet som X1 + VESA + W (ca. 1 cm usikkerhed).</t>
        </is>
      </c>
    </row>
    <row r="385">
      <c r="A385" s="2" t="inlineStr">
        <is>
          <t>LG</t>
        </is>
      </c>
      <c r="B385" s="2" t="inlineStr">
        <is>
          <t>UR78</t>
        </is>
      </c>
      <c r="C385" s="2" t="inlineStr">
        <is>
          <t>UR78</t>
        </is>
      </c>
      <c r="D385" s="2" t="inlineStr">
        <is>
          <t>86UR78006LB</t>
        </is>
      </c>
      <c r="E385" s="3" t="n">
        <v>86</v>
      </c>
      <c r="F385" s="3" t="n">
        <v>2023</v>
      </c>
      <c r="G385" s="4" t="n">
        <v>110.4</v>
      </c>
      <c r="H385" s="3" t="n">
        <v>600</v>
      </c>
      <c r="I385" s="3" t="n">
        <v>400</v>
      </c>
      <c r="J385" s="4" t="n">
        <v>27</v>
      </c>
      <c r="K385" s="4">
        <f>IF(ISNUMBER(J385),J385+I385/10,"")</f>
        <v/>
      </c>
      <c r="L385" s="2" t="inlineStr">
        <is>
          <t>producentens mål</t>
        </is>
      </c>
      <c r="M385" s="2" t="inlineStr">
        <is>
          <t>LG-tegning 2023</t>
        </is>
      </c>
      <c r="N385" s="2" t="inlineStr">
        <is>
          <t>Hulplacering fra LG's officielle bagside-tegning 2023 (UR87/78/77/75 86″, X1 = 270 mm). Højde og VESA fra LG's side.</t>
        </is>
      </c>
    </row>
    <row r="386">
      <c r="A386" s="2" t="inlineStr">
        <is>
          <t>LG</t>
        </is>
      </c>
      <c r="B386" s="2" t="inlineStr">
        <is>
          <t>UR78</t>
        </is>
      </c>
      <c r="C386" s="2" t="inlineStr">
        <is>
          <t>UR78</t>
        </is>
      </c>
      <c r="D386" s="2" t="inlineStr">
        <is>
          <t>75UR78006LK</t>
        </is>
      </c>
      <c r="E386" s="3" t="n">
        <v>75</v>
      </c>
      <c r="F386" s="3" t="n">
        <v>2023</v>
      </c>
      <c r="G386" s="4" t="n">
        <v>96.40000000000001</v>
      </c>
      <c r="H386" s="3" t="n">
        <v>400</v>
      </c>
      <c r="I386" s="3" t="n">
        <v>400</v>
      </c>
      <c r="J386" s="4" t="n">
        <v>27.7</v>
      </c>
      <c r="K386" s="4">
        <f>IF(ISNUMBER(J386),J386+I386/10,"")</f>
        <v/>
      </c>
      <c r="L386" s="2" t="inlineStr">
        <is>
          <t>producentens mål</t>
        </is>
      </c>
      <c r="M386" s="2" t="inlineStr">
        <is>
          <t>LG-tegning 2023</t>
        </is>
      </c>
      <c r="N386" s="2" t="inlineStr">
        <is>
          <t>Hulplacering fra LG's officielle bagside-tegning 2023 (UR87/78/77/75 75″, X1 = 277 mm). Højde og VESA fra LG's side.</t>
        </is>
      </c>
    </row>
    <row r="387">
      <c r="A387" s="2" t="inlineStr">
        <is>
          <t>LG</t>
        </is>
      </c>
      <c r="B387" s="2" t="inlineStr">
        <is>
          <t>UR78</t>
        </is>
      </c>
      <c r="C387" s="2" t="inlineStr">
        <is>
          <t>UHD 4K UR78</t>
        </is>
      </c>
      <c r="D387" s="2" t="inlineStr">
        <is>
          <t>65UR78006LK, 65UR78009LK</t>
        </is>
      </c>
      <c r="E387" s="3" t="n">
        <v>65</v>
      </c>
      <c r="F387" s="3" t="n">
        <v>2023</v>
      </c>
      <c r="G387" s="4" t="n">
        <v>82.8</v>
      </c>
      <c r="H387" s="3" t="n">
        <v>300</v>
      </c>
      <c r="I387" s="3" t="n">
        <v>300</v>
      </c>
      <c r="J387" s="4" t="n">
        <v>15.9</v>
      </c>
      <c r="K387" s="4">
        <f>IF(ISNUMBER(J387),J387+I387/10,"")</f>
        <v/>
      </c>
      <c r="L387" s="2" t="inlineStr">
        <is>
          <t>producentens mål</t>
        </is>
      </c>
      <c r="M387" s="2" t="inlineStr">
        <is>
          <t>LG-tegning 2023</t>
        </is>
      </c>
      <c r="N387" s="2" t="inlineStr">
        <is>
          <t>Hulplacering fra LG's officielle bagside-tegning 2023 (UR87/78/77/75 65″, X1 = 159 mm). Højde og VESA fra LG's side. Billedkontrol (MediaMarkt): 15,8 cm. Billedkontrol (LG): 15,8 cm.</t>
        </is>
      </c>
    </row>
    <row r="388">
      <c r="A388" s="2" t="inlineStr">
        <is>
          <t>LG</t>
        </is>
      </c>
      <c r="B388" s="2" t="inlineStr">
        <is>
          <t>UR78</t>
        </is>
      </c>
      <c r="C388" s="2" t="inlineStr">
        <is>
          <t>UHD 4K UR78</t>
        </is>
      </c>
      <c r="D388" s="2" t="inlineStr">
        <is>
          <t>50UR78006LK, 50UR78009LK, 50UR78006LK1</t>
        </is>
      </c>
      <c r="E388" s="3" t="n">
        <v>50</v>
      </c>
      <c r="F388" s="3" t="n">
        <v>2023</v>
      </c>
      <c r="G388" s="4" t="n">
        <v>64</v>
      </c>
      <c r="H388" s="3" t="n">
        <v>200</v>
      </c>
      <c r="I388" s="3" t="n">
        <v>200</v>
      </c>
      <c r="J388" s="4" t="n">
        <v>22.5</v>
      </c>
      <c r="K388" s="4">
        <f>IF(ISNUMBER(J388),J388+I388/10,"")</f>
        <v/>
      </c>
      <c r="L388" s="2" t="inlineStr">
        <is>
          <t>producentens mål</t>
        </is>
      </c>
      <c r="M388" s="2" t="inlineStr">
        <is>
          <t>LG-tegning 2023</t>
        </is>
      </c>
      <c r="N388" s="2" t="inlineStr">
        <is>
          <t>Hulplacering fra LG's officielle bagside-tegning 2023 (UR87/78/77/75 50″, X1 = 225 mm). Højde og VESA fra LG's side.</t>
        </is>
      </c>
    </row>
    <row r="389">
      <c r="A389" s="2" t="inlineStr">
        <is>
          <t>LG</t>
        </is>
      </c>
      <c r="B389" s="2" t="inlineStr">
        <is>
          <t>UR80</t>
        </is>
      </c>
      <c r="C389" s="2" t="inlineStr">
        <is>
          <t>UR80</t>
        </is>
      </c>
      <c r="D389" s="2" t="inlineStr">
        <is>
          <t>75UR80006LJ</t>
        </is>
      </c>
      <c r="E389" s="3" t="n">
        <v>75</v>
      </c>
      <c r="F389" s="3" t="n">
        <v>2023</v>
      </c>
      <c r="G389" s="4" t="n">
        <v>96.40000000000001</v>
      </c>
      <c r="H389" s="3" t="n">
        <v>400</v>
      </c>
      <c r="I389" s="3" t="n">
        <v>400</v>
      </c>
      <c r="J389" s="4" t="n">
        <v>27.7</v>
      </c>
      <c r="K389" s="4">
        <f>IF(ISNUMBER(J389),J389+I389/10,"")</f>
        <v/>
      </c>
      <c r="L389" s="2" t="inlineStr">
        <is>
          <t>producentens mål</t>
        </is>
      </c>
      <c r="M389" s="2" t="inlineStr">
        <is>
          <t>LG-tegning 2023</t>
        </is>
      </c>
      <c r="N389" s="2" t="inlineStr">
        <is>
          <t>Hulplacering fra LG's officielle bagside-tegning 2023 (UR87/78/77/75 75″, X1 = 277 mm). Højde og VESA fra LG's side.</t>
        </is>
      </c>
    </row>
    <row r="390">
      <c r="A390" s="2" t="inlineStr">
        <is>
          <t>LG</t>
        </is>
      </c>
      <c r="B390" s="2" t="inlineStr">
        <is>
          <t>UR80</t>
        </is>
      </c>
      <c r="C390" s="2" t="inlineStr">
        <is>
          <t>UR80</t>
        </is>
      </c>
      <c r="D390" s="2" t="inlineStr">
        <is>
          <t>70UR80006LJ, 70UR80006LJ0, 70UR80006LJ1</t>
        </is>
      </c>
      <c r="E390" s="3" t="n">
        <v>70</v>
      </c>
      <c r="F390" s="3" t="n">
        <v>2023</v>
      </c>
      <c r="G390" s="4" t="n">
        <v>90.7</v>
      </c>
      <c r="H390" s="3" t="n">
        <v>400</v>
      </c>
      <c r="I390" s="3" t="n">
        <v>400</v>
      </c>
      <c r="J390" s="4" t="n">
        <v>24</v>
      </c>
      <c r="K390" s="4">
        <f>IF(ISNUMBER(J390),J390+I390/10,"")</f>
        <v/>
      </c>
      <c r="L390" s="2" t="inlineStr">
        <is>
          <t>producentens mål</t>
        </is>
      </c>
      <c r="M390" s="2" t="inlineStr">
        <is>
          <t>LG-tegning 2023</t>
        </is>
      </c>
      <c r="N390" s="2" t="inlineStr">
        <is>
          <t>Hulplacering fra LG's officielle bagside-tegning 2023 (UR87/78/77/75 70″, X1 = 240 mm). Højde og VESA fra LG's side.</t>
        </is>
      </c>
    </row>
    <row r="391">
      <c r="A391" s="2" t="inlineStr">
        <is>
          <t>LG</t>
        </is>
      </c>
      <c r="B391" s="2" t="inlineStr">
        <is>
          <t>UR80</t>
        </is>
      </c>
      <c r="C391" s="2" t="inlineStr">
        <is>
          <t>UR80 (2023)</t>
        </is>
      </c>
      <c r="D391" s="2" t="inlineStr">
        <is>
          <t>55UR80006LJ, 55UR80006LJ0, 55UR80006LJ1</t>
        </is>
      </c>
      <c r="E391" s="3" t="n">
        <v>55</v>
      </c>
      <c r="F391" s="3" t="n">
        <v>2023</v>
      </c>
      <c r="G391" s="4" t="n">
        <v>71.5</v>
      </c>
      <c r="H391" s="3" t="n">
        <v>300</v>
      </c>
      <c r="I391" s="3" t="n">
        <v>300</v>
      </c>
      <c r="J391" s="4" t="n">
        <v>16</v>
      </c>
      <c r="K391" s="4">
        <f>IF(ISNUMBER(J391),J391+I391/10,"")</f>
        <v/>
      </c>
      <c r="L391" s="2" t="inlineStr">
        <is>
          <t>kundemålt</t>
        </is>
      </c>
      <c r="M391" s="2" t="inlineStr"/>
      <c r="N391" s="2" t="inlineStr">
        <is>
          <t>Egen måling 22/9-2026 (16 cm til nederste hul, 26 cm fra overkant til øverste). Matcher LG-tegningen (X1 159 mm).</t>
        </is>
      </c>
    </row>
    <row r="392">
      <c r="A392" s="2" t="inlineStr">
        <is>
          <t>LG</t>
        </is>
      </c>
      <c r="B392" s="2" t="inlineStr">
        <is>
          <t>UR81</t>
        </is>
      </c>
      <c r="C392" s="2" t="inlineStr">
        <is>
          <t>UR81</t>
        </is>
      </c>
      <c r="D392" s="2" t="inlineStr">
        <is>
          <t>86UR81006LA</t>
        </is>
      </c>
      <c r="E392" s="3" t="n">
        <v>86</v>
      </c>
      <c r="F392" s="3" t="n">
        <v>2023</v>
      </c>
      <c r="G392" s="4" t="n">
        <v>110.4</v>
      </c>
      <c r="H392" s="3" t="n">
        <v>600</v>
      </c>
      <c r="I392" s="3" t="n">
        <v>400</v>
      </c>
      <c r="J392" s="4" t="n">
        <v>27</v>
      </c>
      <c r="K392" s="4">
        <f>IF(ISNUMBER(J392),J392+I392/10,"")</f>
        <v/>
      </c>
      <c r="L392" s="2" t="inlineStr">
        <is>
          <t>producentens mål</t>
        </is>
      </c>
      <c r="M392" s="2" t="inlineStr">
        <is>
          <t>LG-tegning 2023</t>
        </is>
      </c>
      <c r="N392" s="2" t="inlineStr">
        <is>
          <t>Hulplacering fra LG's officielle bagside-tegning 2023 (UR81/82/83 86″, X1 = 270 mm). Højde og VESA fra LG's side.</t>
        </is>
      </c>
    </row>
    <row r="393">
      <c r="A393" s="2" t="inlineStr">
        <is>
          <t>LG</t>
        </is>
      </c>
      <c r="B393" s="2" t="inlineStr">
        <is>
          <t>UR81</t>
        </is>
      </c>
      <c r="C393" s="2" t="inlineStr">
        <is>
          <t>UR81</t>
        </is>
      </c>
      <c r="D393" s="2" t="inlineStr">
        <is>
          <t>75UR81006LJ</t>
        </is>
      </c>
      <c r="E393" s="3" t="n">
        <v>75</v>
      </c>
      <c r="F393" s="3" t="n">
        <v>2023</v>
      </c>
      <c r="G393" s="4" t="n">
        <v>96.40000000000001</v>
      </c>
      <c r="H393" s="3" t="n">
        <v>400</v>
      </c>
      <c r="I393" s="3" t="n">
        <v>400</v>
      </c>
      <c r="J393" s="4" t="n">
        <v>27.7</v>
      </c>
      <c r="K393" s="4">
        <f>IF(ISNUMBER(J393),J393+I393/10,"")</f>
        <v/>
      </c>
      <c r="L393" s="2" t="inlineStr">
        <is>
          <t>producentens mål</t>
        </is>
      </c>
      <c r="M393" s="2" t="inlineStr">
        <is>
          <t>LG-tegning 2023</t>
        </is>
      </c>
      <c r="N393" s="2" t="inlineStr">
        <is>
          <t>Hulplacering fra LG's officielle bagside-tegning 2023 (UR81/82/83 75″, X1 = 277 mm). Højde og VESA fra LG's side.</t>
        </is>
      </c>
    </row>
    <row r="394">
      <c r="A394" s="2" t="inlineStr">
        <is>
          <t>LG</t>
        </is>
      </c>
      <c r="B394" s="2" t="inlineStr">
        <is>
          <t>UR81/UR82/UR83</t>
        </is>
      </c>
      <c r="C394" s="2" t="inlineStr">
        <is>
          <t>UR81/UR82/UR83 (2023)</t>
        </is>
      </c>
      <c r="D394" s="2" t="inlineStr">
        <is>
          <t>LG UR81/UR82/UR83 70″ 2023</t>
        </is>
      </c>
      <c r="E394" s="3" t="n">
        <v>70</v>
      </c>
      <c r="F394" s="3" t="n">
        <v>2023</v>
      </c>
      <c r="G394" s="4" t="n">
        <v>90.5</v>
      </c>
      <c r="H394" s="3" t="n">
        <v>400</v>
      </c>
      <c r="I394" s="3" t="n">
        <v>400</v>
      </c>
      <c r="J394" s="4" t="n">
        <v>24</v>
      </c>
      <c r="K394" s="4">
        <f>IF(ISNUMBER(J394),J394+I394/10,"")</f>
        <v/>
      </c>
      <c r="L394" s="2" t="inlineStr">
        <is>
          <t>producentens mål</t>
        </is>
      </c>
      <c r="M394" s="2" t="inlineStr">
        <is>
          <t>LG-tegning 2023</t>
        </is>
      </c>
      <c r="N394" s="2" t="inlineStr">
        <is>
          <t>LG's officielle bagside-tegning 2023: X1 = 240 mm. Højden er regnet som X1 + VESA + W (ca. 1 cm usikkerhed).</t>
        </is>
      </c>
    </row>
    <row r="395">
      <c r="A395" s="2" t="inlineStr">
        <is>
          <t>LG</t>
        </is>
      </c>
      <c r="B395" s="2" t="inlineStr">
        <is>
          <t>UR81/UR82/UR83</t>
        </is>
      </c>
      <c r="C395" s="2" t="inlineStr">
        <is>
          <t>UR81/UR82/UR83 (2023)</t>
        </is>
      </c>
      <c r="D395" s="2" t="inlineStr">
        <is>
          <t>LG UR81/UR82/UR83 65″ 2023</t>
        </is>
      </c>
      <c r="E395" s="3" t="n">
        <v>65</v>
      </c>
      <c r="F395" s="3" t="n">
        <v>2023</v>
      </c>
      <c r="G395" s="4" t="n">
        <v>83.5</v>
      </c>
      <c r="H395" s="3" t="n">
        <v>300</v>
      </c>
      <c r="I395" s="3" t="n">
        <v>300</v>
      </c>
      <c r="J395" s="4" t="n">
        <v>15.9</v>
      </c>
      <c r="K395" s="4">
        <f>IF(ISNUMBER(J395),J395+I395/10,"")</f>
        <v/>
      </c>
      <c r="L395" s="2" t="inlineStr">
        <is>
          <t>producentens mål</t>
        </is>
      </c>
      <c r="M395" s="2" t="inlineStr">
        <is>
          <t>LG-tegning 2023</t>
        </is>
      </c>
      <c r="N395" s="2" t="inlineStr">
        <is>
          <t>LG's officielle bagside-tegning 2023: X1 = 159 mm. Højden er regnet som X1 + VESA + W (ca. 1 cm usikkerhed).</t>
        </is>
      </c>
    </row>
    <row r="396">
      <c r="A396" s="2" t="inlineStr">
        <is>
          <t>LG</t>
        </is>
      </c>
      <c r="B396" s="2" t="inlineStr">
        <is>
          <t>UR81/UR82/UR83</t>
        </is>
      </c>
      <c r="C396" s="2" t="inlineStr">
        <is>
          <t>UR81/UR82/UR83 (2023)</t>
        </is>
      </c>
      <c r="D396" s="2" t="inlineStr">
        <is>
          <t>LG UR81/UR82/UR83 55″ 2023</t>
        </is>
      </c>
      <c r="E396" s="3" t="n">
        <v>55</v>
      </c>
      <c r="F396" s="3" t="n">
        <v>2023</v>
      </c>
      <c r="G396" s="4" t="n">
        <v>71.2</v>
      </c>
      <c r="H396" s="3" t="n">
        <v>300</v>
      </c>
      <c r="I396" s="3" t="n">
        <v>300</v>
      </c>
      <c r="J396" s="4" t="n">
        <v>15.9</v>
      </c>
      <c r="K396" s="4">
        <f>IF(ISNUMBER(J396),J396+I396/10,"")</f>
        <v/>
      </c>
      <c r="L396" s="2" t="inlineStr">
        <is>
          <t>producentens mål</t>
        </is>
      </c>
      <c r="M396" s="2" t="inlineStr">
        <is>
          <t>LG-tegning 2023</t>
        </is>
      </c>
      <c r="N396" s="2" t="inlineStr">
        <is>
          <t>LG's officielle bagside-tegning 2023: X1 = 159 mm. Højden er regnet som X1 + VESA + W (ca. 1 cm usikkerhed).</t>
        </is>
      </c>
    </row>
    <row r="397">
      <c r="A397" s="2" t="inlineStr">
        <is>
          <t>LG</t>
        </is>
      </c>
      <c r="B397" s="2" t="inlineStr">
        <is>
          <t>UR81/UR82/UR83</t>
        </is>
      </c>
      <c r="C397" s="2" t="inlineStr">
        <is>
          <t>UR81/UR82/UR83 (2023)</t>
        </is>
      </c>
      <c r="D397" s="2" t="inlineStr">
        <is>
          <t>LG UR81/UR82/UR83 50″ 2023</t>
        </is>
      </c>
      <c r="E397" s="3" t="n">
        <v>50</v>
      </c>
      <c r="F397" s="3" t="n">
        <v>2023</v>
      </c>
      <c r="G397" s="4" t="n">
        <v>64.90000000000001</v>
      </c>
      <c r="H397" s="3" t="n">
        <v>200</v>
      </c>
      <c r="I397" s="3" t="n">
        <v>200</v>
      </c>
      <c r="J397" s="4" t="n">
        <v>22.5</v>
      </c>
      <c r="K397" s="4">
        <f>IF(ISNUMBER(J397),J397+I397/10,"")</f>
        <v/>
      </c>
      <c r="L397" s="2" t="inlineStr">
        <is>
          <t>producentens mål</t>
        </is>
      </c>
      <c r="M397" s="2" t="inlineStr">
        <is>
          <t>LG-tegning 2023</t>
        </is>
      </c>
      <c r="N397" s="2" t="inlineStr">
        <is>
          <t>LG's officielle bagside-tegning 2023: X1 = 225 mm. Højden er regnet som X1 + VESA + W (ca. 1 cm usikkerhed).</t>
        </is>
      </c>
    </row>
    <row r="398">
      <c r="A398" s="2" t="inlineStr">
        <is>
          <t>LG</t>
        </is>
      </c>
      <c r="B398" s="2" t="inlineStr">
        <is>
          <t>UR81/UR82/UR83</t>
        </is>
      </c>
      <c r="C398" s="2" t="inlineStr">
        <is>
          <t>UR81/UR82/UR83 (2023)</t>
        </is>
      </c>
      <c r="D398" s="2" t="inlineStr">
        <is>
          <t>LG UR81/UR82/UR83 43″ 2023</t>
        </is>
      </c>
      <c r="E398" s="3" t="n">
        <v>43</v>
      </c>
      <c r="F398" s="3" t="n">
        <v>2023</v>
      </c>
      <c r="G398" s="4" t="n">
        <v>56.2</v>
      </c>
      <c r="H398" s="3" t="n">
        <v>200</v>
      </c>
      <c r="I398" s="3" t="n">
        <v>200</v>
      </c>
      <c r="J398" s="4" t="n">
        <v>21.3</v>
      </c>
      <c r="K398" s="4">
        <f>IF(ISNUMBER(J398),J398+I398/10,"")</f>
        <v/>
      </c>
      <c r="L398" s="2" t="inlineStr">
        <is>
          <t>producentens mål</t>
        </is>
      </c>
      <c r="M398" s="2" t="inlineStr">
        <is>
          <t>LG-tegning 2023</t>
        </is>
      </c>
      <c r="N398" s="2" t="inlineStr">
        <is>
          <t>LG's officielle bagside-tegning 2023: X1 = 213 mm. Højden er regnet som X1 + VESA + W (ca. 1 cm usikkerhed).</t>
        </is>
      </c>
    </row>
    <row r="399">
      <c r="A399" s="2" t="inlineStr">
        <is>
          <t>LG</t>
        </is>
      </c>
      <c r="B399" s="2" t="inlineStr">
        <is>
          <t>UR91</t>
        </is>
      </c>
      <c r="C399" s="2" t="inlineStr">
        <is>
          <t>UR91</t>
        </is>
      </c>
      <c r="D399" s="2" t="inlineStr">
        <is>
          <t>75UR91006LA</t>
        </is>
      </c>
      <c r="E399" s="3" t="n">
        <v>75</v>
      </c>
      <c r="F399" s="3" t="n">
        <v>2023</v>
      </c>
      <c r="G399" s="4" t="n">
        <v>96.5</v>
      </c>
      <c r="H399" s="3" t="n">
        <v>400</v>
      </c>
      <c r="I399" s="3" t="n">
        <v>300</v>
      </c>
      <c r="J399" s="4" t="n">
        <v>36.1</v>
      </c>
      <c r="K399" s="4">
        <f>IF(ISNUMBER(J399),J399+I399/10,"")</f>
        <v/>
      </c>
      <c r="L399" s="2" t="inlineStr">
        <is>
          <t>producentens mål</t>
        </is>
      </c>
      <c r="M399" s="2" t="inlineStr">
        <is>
          <t>LG-tegning 2023</t>
        </is>
      </c>
      <c r="N399" s="2" t="inlineStr">
        <is>
          <t>Hulplacering fra LG's officielle bagside-tegning 2023 (UR9XXX 75″, X1 = 361 mm). Højde og VESA fra LG's side.</t>
        </is>
      </c>
    </row>
    <row r="400">
      <c r="A400" s="2" t="inlineStr">
        <is>
          <t>LG</t>
        </is>
      </c>
      <c r="B400" s="2" t="inlineStr">
        <is>
          <t>UR91/UR9x</t>
        </is>
      </c>
      <c r="C400" s="2" t="inlineStr">
        <is>
          <t>UR91/UR9x (2023)</t>
        </is>
      </c>
      <c r="D400" s="2" t="inlineStr">
        <is>
          <t>LG UR91/UR9x 65″ 2023</t>
        </is>
      </c>
      <c r="E400" s="3" t="n">
        <v>65</v>
      </c>
      <c r="F400" s="3" t="n">
        <v>2023</v>
      </c>
      <c r="G400" s="4" t="n">
        <v>83.40000000000001</v>
      </c>
      <c r="H400" s="3" t="n">
        <v>300</v>
      </c>
      <c r="I400" s="3" t="n">
        <v>300</v>
      </c>
      <c r="J400" s="4" t="n">
        <v>31.7</v>
      </c>
      <c r="K400" s="4">
        <f>IF(ISNUMBER(J400),J400+I400/10,"")</f>
        <v/>
      </c>
      <c r="L400" s="2" t="inlineStr">
        <is>
          <t>producentens mål</t>
        </is>
      </c>
      <c r="M400" s="2" t="inlineStr">
        <is>
          <t>LG-tegning 2023</t>
        </is>
      </c>
      <c r="N400" s="2" t="inlineStr">
        <is>
          <t>LG's officielle bagside-tegning 2023: X1 = 317 mm. Højden er regnet som X1 + VESA + W (ca. 1 cm usikkerhed).</t>
        </is>
      </c>
    </row>
    <row r="401">
      <c r="A401" s="2" t="inlineStr">
        <is>
          <t>LG</t>
        </is>
      </c>
      <c r="B401" s="2" t="inlineStr">
        <is>
          <t>UR91/UR9x</t>
        </is>
      </c>
      <c r="C401" s="2" t="inlineStr">
        <is>
          <t>UR91/UR9x (2023)</t>
        </is>
      </c>
      <c r="D401" s="2" t="inlineStr">
        <is>
          <t>LG UR91/UR9x 55″ 2023</t>
        </is>
      </c>
      <c r="E401" s="3" t="n">
        <v>55</v>
      </c>
      <c r="F401" s="3" t="n">
        <v>2023</v>
      </c>
      <c r="G401" s="4" t="n">
        <v>70.8</v>
      </c>
      <c r="H401" s="3" t="n">
        <v>300</v>
      </c>
      <c r="I401" s="3" t="n">
        <v>300</v>
      </c>
      <c r="J401" s="4" t="n">
        <v>28.2</v>
      </c>
      <c r="K401" s="4">
        <f>IF(ISNUMBER(J401),J401+I401/10,"")</f>
        <v/>
      </c>
      <c r="L401" s="2" t="inlineStr">
        <is>
          <t>producentens mål</t>
        </is>
      </c>
      <c r="M401" s="2" t="inlineStr">
        <is>
          <t>LG-tegning 2023</t>
        </is>
      </c>
      <c r="N401" s="2" t="inlineStr">
        <is>
          <t>LG's officielle bagside-tegning 2023: X1 = 282 mm. Højden er regnet som X1 + VESA + W (ca. 1 cm usikkerhed).</t>
        </is>
      </c>
    </row>
    <row r="402">
      <c r="A402" s="2" t="inlineStr">
        <is>
          <t>LG</t>
        </is>
      </c>
      <c r="B402" s="2" t="inlineStr">
        <is>
          <t>UR91/UR9x</t>
        </is>
      </c>
      <c r="C402" s="2" t="inlineStr">
        <is>
          <t>UR91/UR9x (2023)</t>
        </is>
      </c>
      <c r="D402" s="2" t="inlineStr">
        <is>
          <t>LG UR91/UR9x 50″ 2023</t>
        </is>
      </c>
      <c r="E402" s="3" t="n">
        <v>50</v>
      </c>
      <c r="F402" s="3" t="n">
        <v>2023</v>
      </c>
      <c r="G402" s="4" t="n">
        <v>64.7</v>
      </c>
      <c r="H402" s="3" t="n">
        <v>200</v>
      </c>
      <c r="I402" s="3" t="n">
        <v>200</v>
      </c>
      <c r="J402" s="4" t="n">
        <v>30.8</v>
      </c>
      <c r="K402" s="4">
        <f>IF(ISNUMBER(J402),J402+I402/10,"")</f>
        <v/>
      </c>
      <c r="L402" s="2" t="inlineStr">
        <is>
          <t>producentens mål</t>
        </is>
      </c>
      <c r="M402" s="2" t="inlineStr">
        <is>
          <t>LG-tegning 2023</t>
        </is>
      </c>
      <c r="N402" s="2" t="inlineStr">
        <is>
          <t>LG's officielle bagside-tegning 2023: X1 = 308 mm. Højden er regnet som X1 + VESA + W (ca. 1 cm usikkerhed).</t>
        </is>
      </c>
    </row>
    <row r="403">
      <c r="A403" s="2" t="inlineStr">
        <is>
          <t>LG</t>
        </is>
      </c>
      <c r="B403" s="2" t="inlineStr">
        <is>
          <t>UR91/UR9x</t>
        </is>
      </c>
      <c r="C403" s="2" t="inlineStr">
        <is>
          <t>UR91/UR9x (2023)</t>
        </is>
      </c>
      <c r="D403" s="2" t="inlineStr">
        <is>
          <t>LG UR91/UR9x 43″ 2023</t>
        </is>
      </c>
      <c r="E403" s="3" t="n">
        <v>43</v>
      </c>
      <c r="F403" s="3" t="n">
        <v>2023</v>
      </c>
      <c r="G403" s="4" t="n">
        <v>56</v>
      </c>
      <c r="H403" s="3" t="n">
        <v>200</v>
      </c>
      <c r="I403" s="3" t="n">
        <v>200</v>
      </c>
      <c r="J403" s="4" t="n">
        <v>21</v>
      </c>
      <c r="K403" s="4">
        <f>IF(ISNUMBER(J403),J403+I403/10,"")</f>
        <v/>
      </c>
      <c r="L403" s="2" t="inlineStr">
        <is>
          <t>producentens mål</t>
        </is>
      </c>
      <c r="M403" s="2" t="inlineStr">
        <is>
          <t>LG-tegning 2023</t>
        </is>
      </c>
      <c r="N403" s="2" t="inlineStr">
        <is>
          <t>LG's officielle bagside-tegning 2023: X1 = 210 mm. Højden er regnet som X1 + VESA + W (ca. 1 cm usikkerhed).</t>
        </is>
      </c>
    </row>
    <row r="404">
      <c r="A404" s="2" t="inlineStr">
        <is>
          <t>Samsung</t>
        </is>
      </c>
      <c r="B404" s="2" t="inlineStr">
        <is>
          <t>CU7020</t>
        </is>
      </c>
      <c r="C404" s="2" t="inlineStr">
        <is>
          <t>CU7020 65 Inch 2024 Crystal UHD 4K HDR Smart TV</t>
        </is>
      </c>
      <c r="D404" s="2" t="inlineStr">
        <is>
          <t>UE65CU7020KXXU, UE65CU7020KXXN</t>
        </is>
      </c>
      <c r="E404" s="3" t="n">
        <v>65</v>
      </c>
      <c r="F404" s="3" t="n">
        <v>2024</v>
      </c>
      <c r="G404" s="4" t="n">
        <v>84.59999999999999</v>
      </c>
      <c r="H404" s="3" t="n">
        <v>400</v>
      </c>
      <c r="I404" s="3" t="n">
        <v>300</v>
      </c>
      <c r="J404" s="4" t="n"/>
      <c r="K404" s="4">
        <f>IF(ISNUMBER(J404),J404+I404/10,"")</f>
        <v/>
      </c>
      <c r="L404" s="2" t="inlineStr">
        <is>
          <t>estimat</t>
        </is>
      </c>
      <c r="M404" s="2" t="inlineStr"/>
      <c r="N404" s="2" t="inlineStr"/>
    </row>
    <row r="405">
      <c r="A405" s="2" t="inlineStr">
        <is>
          <t>Samsung</t>
        </is>
      </c>
      <c r="B405" s="2" t="inlineStr">
        <is>
          <t>CU7020</t>
        </is>
      </c>
      <c r="C405" s="2" t="inlineStr">
        <is>
          <t>CU7020 55 Inch 2024 Crystal UHD 4K HDR Smart TV</t>
        </is>
      </c>
      <c r="D405" s="2" t="inlineStr">
        <is>
          <t>UE55CU7020KXXU, UE55CU7020KXXN</t>
        </is>
      </c>
      <c r="E405" s="3" t="n">
        <v>55</v>
      </c>
      <c r="F405" s="3" t="n">
        <v>2024</v>
      </c>
      <c r="G405" s="4" t="n">
        <v>72.09999999999999</v>
      </c>
      <c r="H405" s="3" t="n">
        <v>200</v>
      </c>
      <c r="I405" s="3" t="n">
        <v>200</v>
      </c>
      <c r="J405" s="4" t="n"/>
      <c r="K405" s="4">
        <f>IF(ISNUMBER(J405),J405+I405/10,"")</f>
        <v/>
      </c>
      <c r="L405" s="2" t="inlineStr">
        <is>
          <t>estimat</t>
        </is>
      </c>
      <c r="M405" s="2" t="inlineStr"/>
      <c r="N405" s="2" t="inlineStr"/>
    </row>
    <row r="406">
      <c r="A406" s="2" t="inlineStr">
        <is>
          <t>Samsung</t>
        </is>
      </c>
      <c r="B406" s="2" t="inlineStr">
        <is>
          <t>CU7020</t>
        </is>
      </c>
      <c r="C406" s="2" t="inlineStr">
        <is>
          <t>CU7020 43 Inch 2024 Crystal UHD 4K HDR Smart TV</t>
        </is>
      </c>
      <c r="D406" s="2" t="inlineStr">
        <is>
          <t>UE50CU7020KXXU, UE50CU7020KXXN</t>
        </is>
      </c>
      <c r="E406" s="3" t="n">
        <v>50</v>
      </c>
      <c r="F406" s="3" t="n">
        <v>2024</v>
      </c>
      <c r="G406" s="4" t="n">
        <v>65.59999999999999</v>
      </c>
      <c r="H406" s="3" t="n">
        <v>200</v>
      </c>
      <c r="I406" s="3" t="n">
        <v>200</v>
      </c>
      <c r="J406" s="4" t="n"/>
      <c r="K406" s="4">
        <f>IF(ISNUMBER(J406),J406+I406/10,"")</f>
        <v/>
      </c>
      <c r="L406" s="2" t="inlineStr">
        <is>
          <t>estimat</t>
        </is>
      </c>
      <c r="M406" s="2" t="inlineStr"/>
      <c r="N406" s="2" t="inlineStr"/>
    </row>
    <row r="407">
      <c r="A407" s="2" t="inlineStr">
        <is>
          <t>Samsung</t>
        </is>
      </c>
      <c r="B407" s="2" t="inlineStr">
        <is>
          <t>CU7020</t>
        </is>
      </c>
      <c r="C407" s="2" t="inlineStr">
        <is>
          <t>43" Crystal UHD CU7020 4K Smart TV</t>
        </is>
      </c>
      <c r="D407" s="2" t="inlineStr">
        <is>
          <t>UE43CU7020KXXU, UE43CU7020KXXN</t>
        </is>
      </c>
      <c r="E407" s="3" t="n">
        <v>43</v>
      </c>
      <c r="F407" s="3" t="n">
        <v>2026</v>
      </c>
      <c r="G407" s="4" t="n">
        <v>56.8</v>
      </c>
      <c r="H407" s="3" t="n">
        <v>200</v>
      </c>
      <c r="I407" s="3" t="n">
        <v>200</v>
      </c>
      <c r="J407" s="4" t="n"/>
      <c r="K407" s="4">
        <f>IF(ISNUMBER(J407),J407+I407/10,"")</f>
        <v/>
      </c>
      <c r="L407" s="2" t="inlineStr">
        <is>
          <t>estimat</t>
        </is>
      </c>
      <c r="M407" s="2" t="inlineStr"/>
      <c r="N407" s="2" t="inlineStr"/>
    </row>
    <row r="408">
      <c r="A408" s="2" t="inlineStr">
        <is>
          <t>Samsung</t>
        </is>
      </c>
      <c r="B408" s="2" t="inlineStr">
        <is>
          <t>CU8000</t>
        </is>
      </c>
      <c r="C408" s="2" t="inlineStr">
        <is>
          <t>Crystal UHD 4K CU8000</t>
        </is>
      </c>
      <c r="D408" s="2" t="inlineStr">
        <is>
          <t>UE75CU8000KXXU, UE75CU8000KXXC, UE75CU8000KXXN</t>
        </is>
      </c>
      <c r="E408" s="3" t="n">
        <v>75</v>
      </c>
      <c r="F408" s="3" t="n">
        <v>2023</v>
      </c>
      <c r="G408" s="4" t="n">
        <v>95.5</v>
      </c>
      <c r="H408" s="3" t="n">
        <v>400</v>
      </c>
      <c r="I408" s="3" t="n">
        <v>400</v>
      </c>
      <c r="J408" s="4" t="n"/>
      <c r="K408" s="4">
        <f>IF(ISNUMBER(J408),J408+I408/10,"")</f>
        <v/>
      </c>
      <c r="L408" s="2" t="inlineStr">
        <is>
          <t>estimat</t>
        </is>
      </c>
      <c r="M408" s="2" t="inlineStr"/>
      <c r="N408" s="2" t="inlineStr">
        <is>
          <t>VESA 400×300 → 400×400 efter Icecat.</t>
        </is>
      </c>
    </row>
    <row r="409">
      <c r="A409" s="2" t="inlineStr">
        <is>
          <t>Samsung</t>
        </is>
      </c>
      <c r="B409" s="2" t="inlineStr">
        <is>
          <t>CU8000</t>
        </is>
      </c>
      <c r="C409" s="2" t="inlineStr">
        <is>
          <t>2023 55 Inch Crystal UHD 4K Smart TV CU8000</t>
        </is>
      </c>
      <c r="D409" s="2" t="inlineStr">
        <is>
          <t>UE55CU8000KXXU, UE55CU8000KXXN</t>
        </is>
      </c>
      <c r="E409" s="3" t="n">
        <v>55</v>
      </c>
      <c r="F409" s="3" t="n">
        <v>2023</v>
      </c>
      <c r="G409" s="4" t="n">
        <v>70.90000000000001</v>
      </c>
      <c r="H409" s="3" t="n">
        <v>200</v>
      </c>
      <c r="I409" s="3" t="n">
        <v>200</v>
      </c>
      <c r="J409" s="4" t="n"/>
      <c r="K409" s="4">
        <f>IF(ISNUMBER(J409),J409+I409/10,"")</f>
        <v/>
      </c>
      <c r="L409" s="2" t="inlineStr">
        <is>
          <t>estimat</t>
        </is>
      </c>
      <c r="M409" s="2" t="inlineStr"/>
      <c r="N409" s="2" t="inlineStr"/>
    </row>
    <row r="410">
      <c r="A410" s="2" t="inlineStr">
        <is>
          <t>Samsung</t>
        </is>
      </c>
      <c r="B410" s="2" t="inlineStr">
        <is>
          <t>CU8000</t>
        </is>
      </c>
      <c r="C410" s="2" t="inlineStr">
        <is>
          <t>Crystal UHD 4K CU8000</t>
        </is>
      </c>
      <c r="D410" s="2" t="inlineStr">
        <is>
          <t>UE50CU8000KXXU, UE50CU8000KXXC, UE50CU8000KXXN</t>
        </is>
      </c>
      <c r="E410" s="3" t="n">
        <v>50</v>
      </c>
      <c r="F410" s="3" t="n">
        <v>2023</v>
      </c>
      <c r="G410" s="4" t="n">
        <v>64</v>
      </c>
      <c r="H410" s="3" t="n">
        <v>200</v>
      </c>
      <c r="I410" s="3" t="n">
        <v>200</v>
      </c>
      <c r="J410" s="4" t="n"/>
      <c r="K410" s="4">
        <f>IF(ISNUMBER(J410),J410+I410/10,"")</f>
        <v/>
      </c>
      <c r="L410" s="2" t="inlineStr">
        <is>
          <t>estimat</t>
        </is>
      </c>
      <c r="M410" s="2" t="inlineStr"/>
      <c r="N410" s="2" t="inlineStr"/>
    </row>
    <row r="411">
      <c r="A411" s="2" t="inlineStr">
        <is>
          <t>Samsung</t>
        </is>
      </c>
      <c r="B411" s="2" t="inlineStr">
        <is>
          <t>CU8070</t>
        </is>
      </c>
      <c r="C411" s="2" t="inlineStr">
        <is>
          <t>2023 85 Inch Crystal UHD 4K Smart TV CU8070</t>
        </is>
      </c>
      <c r="D411" s="2" t="inlineStr">
        <is>
          <t>UE85CU8070UXXU, UE85CU8070UXXN</t>
        </is>
      </c>
      <c r="E411" s="3" t="n">
        <v>85</v>
      </c>
      <c r="F411" s="3" t="n">
        <v>2023</v>
      </c>
      <c r="G411" s="4" t="n">
        <v>108.6</v>
      </c>
      <c r="H411" s="3" t="n">
        <v>600</v>
      </c>
      <c r="I411" s="3" t="n">
        <v>400</v>
      </c>
      <c r="J411" s="4" t="n"/>
      <c r="K411" s="4">
        <f>IF(ISNUMBER(J411),J411+I411/10,"")</f>
        <v/>
      </c>
      <c r="L411" s="2" t="inlineStr">
        <is>
          <t>estimat</t>
        </is>
      </c>
      <c r="M411" s="2" t="inlineStr"/>
      <c r="N411" s="2" t="inlineStr"/>
    </row>
    <row r="412">
      <c r="A412" s="2" t="inlineStr">
        <is>
          <t>Samsung</t>
        </is>
      </c>
      <c r="B412" s="2" t="inlineStr">
        <is>
          <t>CU8070</t>
        </is>
      </c>
      <c r="C412" s="2" t="inlineStr">
        <is>
          <t>2023 75 Inch Crystal UHD 4K Smart TV CU8070</t>
        </is>
      </c>
      <c r="D412" s="2" t="inlineStr">
        <is>
          <t>UE75CU8070UXXU, UE75CU8070UXXN</t>
        </is>
      </c>
      <c r="E412" s="3" t="n">
        <v>75</v>
      </c>
      <c r="F412" s="3" t="n">
        <v>2023</v>
      </c>
      <c r="G412" s="4" t="n">
        <v>96</v>
      </c>
      <c r="H412" s="3" t="n">
        <v>400</v>
      </c>
      <c r="I412" s="3" t="n">
        <v>400</v>
      </c>
      <c r="J412" s="4" t="n"/>
      <c r="K412" s="4">
        <f>IF(ISNUMBER(J412),J412+I412/10,"")</f>
        <v/>
      </c>
      <c r="L412" s="2" t="inlineStr">
        <is>
          <t>estimat</t>
        </is>
      </c>
      <c r="M412" s="2" t="inlineStr"/>
      <c r="N412" s="2" t="inlineStr"/>
    </row>
    <row r="413">
      <c r="A413" s="2" t="inlineStr">
        <is>
          <t>Samsung</t>
        </is>
      </c>
      <c r="B413" s="2" t="inlineStr">
        <is>
          <t>CU8070</t>
        </is>
      </c>
      <c r="C413" s="2" t="inlineStr">
        <is>
          <t>2023 65 Inch Crystal UHD 4K Smart TV CU8070</t>
        </is>
      </c>
      <c r="D413" s="2" t="inlineStr">
        <is>
          <t>UE65CU8070UXXU, UE65CU8070UXXN</t>
        </is>
      </c>
      <c r="E413" s="3" t="n">
        <v>65</v>
      </c>
      <c r="F413" s="3" t="n">
        <v>2023</v>
      </c>
      <c r="G413" s="4" t="n">
        <v>83.2</v>
      </c>
      <c r="H413" s="3" t="n">
        <v>400</v>
      </c>
      <c r="I413" s="3" t="n">
        <v>300</v>
      </c>
      <c r="J413" s="4" t="n"/>
      <c r="K413" s="4">
        <f>IF(ISNUMBER(J413),J413+I413/10,"")</f>
        <v/>
      </c>
      <c r="L413" s="2" t="inlineStr">
        <is>
          <t>estimat</t>
        </is>
      </c>
      <c r="M413" s="2" t="inlineStr"/>
      <c r="N413" s="2" t="inlineStr"/>
    </row>
    <row r="414">
      <c r="A414" s="2" t="inlineStr">
        <is>
          <t>Samsung</t>
        </is>
      </c>
      <c r="B414" s="2" t="inlineStr">
        <is>
          <t>CU8070</t>
        </is>
      </c>
      <c r="C414" s="2" t="inlineStr">
        <is>
          <t>2023 55 Inch Crystal UHD 4K Smart TV CU8070</t>
        </is>
      </c>
      <c r="D414" s="2" t="inlineStr">
        <is>
          <t>UE55CU8070UXXU, UE55CU8070UXXN</t>
        </is>
      </c>
      <c r="E414" s="3" t="n">
        <v>55</v>
      </c>
      <c r="F414" s="3" t="n">
        <v>2023</v>
      </c>
      <c r="G414" s="4" t="n">
        <v>70.90000000000001</v>
      </c>
      <c r="H414" s="3" t="n">
        <v>200</v>
      </c>
      <c r="I414" s="3" t="n">
        <v>200</v>
      </c>
      <c r="J414" s="4" t="n"/>
      <c r="K414" s="4">
        <f>IF(ISNUMBER(J414),J414+I414/10,"")</f>
        <v/>
      </c>
      <c r="L414" s="2" t="inlineStr">
        <is>
          <t>estimat</t>
        </is>
      </c>
      <c r="M414" s="2" t="inlineStr"/>
      <c r="N414" s="2" t="inlineStr"/>
    </row>
    <row r="415">
      <c r="A415" s="2" t="inlineStr">
        <is>
          <t>Samsung</t>
        </is>
      </c>
      <c r="B415" s="2" t="inlineStr">
        <is>
          <t>CU8070</t>
        </is>
      </c>
      <c r="C415" s="2" t="inlineStr">
        <is>
          <t>2023 50 Inch Crystal UHD 4K Smart TV CU8070</t>
        </is>
      </c>
      <c r="D415" s="2" t="inlineStr">
        <is>
          <t>UE50CU8070UXXU, UE50CU8070UXXN</t>
        </is>
      </c>
      <c r="E415" s="3" t="n">
        <v>50</v>
      </c>
      <c r="F415" s="3" t="n">
        <v>2023</v>
      </c>
      <c r="G415" s="4" t="n">
        <v>64.5</v>
      </c>
      <c r="H415" s="3" t="n">
        <v>200</v>
      </c>
      <c r="I415" s="3" t="n">
        <v>200</v>
      </c>
      <c r="J415" s="4" t="n"/>
      <c r="K415" s="4">
        <f>IF(ISNUMBER(J415),J415+I415/10,"")</f>
        <v/>
      </c>
      <c r="L415" s="2" t="inlineStr">
        <is>
          <t>estimat</t>
        </is>
      </c>
      <c r="M415" s="2" t="inlineStr"/>
      <c r="N415" s="2" t="inlineStr"/>
    </row>
    <row r="416">
      <c r="A416" s="2" t="inlineStr">
        <is>
          <t>Samsung</t>
        </is>
      </c>
      <c r="B416" s="2" t="inlineStr">
        <is>
          <t>CU8070</t>
        </is>
      </c>
      <c r="C416" s="2" t="inlineStr">
        <is>
          <t>2023 43 Inch Crystal UHD 4K Smart TV CU8070</t>
        </is>
      </c>
      <c r="D416" s="2" t="inlineStr">
        <is>
          <t>UE43CU8070UXXU, UE43CU8070UXXN</t>
        </is>
      </c>
      <c r="E416" s="3" t="n">
        <v>43</v>
      </c>
      <c r="F416" s="3" t="n">
        <v>2023</v>
      </c>
      <c r="G416" s="4" t="n">
        <v>56</v>
      </c>
      <c r="H416" s="3" t="n">
        <v>200</v>
      </c>
      <c r="I416" s="3" t="n">
        <v>200</v>
      </c>
      <c r="J416" s="4" t="n"/>
      <c r="K416" s="4">
        <f>IF(ISNUMBER(J416),J416+I416/10,"")</f>
        <v/>
      </c>
      <c r="L416" s="2" t="inlineStr">
        <is>
          <t>estimat</t>
        </is>
      </c>
      <c r="M416" s="2" t="inlineStr"/>
      <c r="N416" s="2" t="inlineStr"/>
    </row>
    <row r="417">
      <c r="A417" s="2" t="inlineStr">
        <is>
          <t>Samsung</t>
        </is>
      </c>
      <c r="B417" s="2" t="inlineStr">
        <is>
          <t>DU7100</t>
        </is>
      </c>
      <c r="C417" s="2" t="inlineStr">
        <is>
          <t>DU7100 85 Inch 2024 Crystal UHD 4K TV</t>
        </is>
      </c>
      <c r="D417" s="2" t="inlineStr">
        <is>
          <t>UE85DU7100KXXU</t>
        </is>
      </c>
      <c r="E417" s="3" t="n">
        <v>85</v>
      </c>
      <c r="F417" s="3" t="n">
        <v>2024</v>
      </c>
      <c r="G417" s="4" t="n">
        <v>108.8</v>
      </c>
      <c r="H417" s="3" t="n">
        <v>600</v>
      </c>
      <c r="I417" s="3" t="n">
        <v>400</v>
      </c>
      <c r="J417" s="4" t="n">
        <v>32.8</v>
      </c>
      <c r="K417" s="4">
        <f>IF(ISNUMBER(J417),J417+I417/10,"")</f>
        <v/>
      </c>
      <c r="L417" s="2" t="inlineStr">
        <is>
          <t>3D-model</t>
        </is>
      </c>
      <c r="M417" s="2" t="inlineStr">
        <is>
          <t>Samsung</t>
        </is>
      </c>
      <c r="N417" s="2" t="inlineStr">
        <is>
          <t>Målt på Samsungs 3D-model af tv'et fra samsung.com (modellen for UN85DU7100FXZC): nederste VESA-hul 32,8 cm fra underkant. Metoden ramte 11 kendte mål med højst 1,2 cm afvigelse. Usikkerhed ca. ±1,5 cm.</t>
        </is>
      </c>
    </row>
    <row r="418">
      <c r="A418" s="2" t="inlineStr">
        <is>
          <t>Samsung</t>
        </is>
      </c>
      <c r="B418" s="2" t="inlineStr">
        <is>
          <t>DU7100</t>
        </is>
      </c>
      <c r="C418" s="2" t="inlineStr">
        <is>
          <t>DU7100 75 Inch 2024 Crystal UHD 4K TV</t>
        </is>
      </c>
      <c r="D418" s="2" t="inlineStr">
        <is>
          <t>UE75DU7100KXXU</t>
        </is>
      </c>
      <c r="E418" s="3" t="n">
        <v>75</v>
      </c>
      <c r="F418" s="3" t="n">
        <v>2024</v>
      </c>
      <c r="G418" s="4" t="n">
        <v>96.2</v>
      </c>
      <c r="H418" s="3" t="n">
        <v>400</v>
      </c>
      <c r="I418" s="3" t="n">
        <v>400</v>
      </c>
      <c r="J418" s="4" t="n">
        <v>27.8</v>
      </c>
      <c r="K418" s="4">
        <f>IF(ISNUMBER(J418),J418+I418/10,"")</f>
        <v/>
      </c>
      <c r="L418" s="2" t="inlineStr">
        <is>
          <t>3D-model</t>
        </is>
      </c>
      <c r="M418" s="2" t="inlineStr">
        <is>
          <t>Samsung</t>
        </is>
      </c>
      <c r="N418" s="2" t="inlineStr">
        <is>
          <t>Målt på Samsungs 3D-model af tv'et fra samsung.com (modellen for UN75DU7100FXZC): nederste VESA-hul 27,8 cm fra underkant. Metoden ramte 11 kendte mål med højst 1,2 cm afvigelse. Usikkerhed ca. ±1,5 cm.</t>
        </is>
      </c>
    </row>
    <row r="419">
      <c r="A419" s="2" t="inlineStr">
        <is>
          <t>Samsung</t>
        </is>
      </c>
      <c r="B419" s="2" t="inlineStr">
        <is>
          <t>DU7100</t>
        </is>
      </c>
      <c r="C419" s="2" t="inlineStr">
        <is>
          <t>DU7100 70 Inch 2024 Crystal UHD 4K TV</t>
        </is>
      </c>
      <c r="D419" s="2" t="inlineStr">
        <is>
          <t>UE70DU7100KXXU</t>
        </is>
      </c>
      <c r="E419" s="3" t="n">
        <v>70</v>
      </c>
      <c r="F419" s="3" t="n">
        <v>2024</v>
      </c>
      <c r="G419" s="4" t="n">
        <v>90.40000000000001</v>
      </c>
      <c r="H419" s="3" t="n">
        <v>400</v>
      </c>
      <c r="I419" s="3" t="n">
        <v>400</v>
      </c>
      <c r="J419" s="4" t="n">
        <v>27.7</v>
      </c>
      <c r="K419" s="4">
        <f>IF(ISNUMBER(J419),J419+I419/10,"")</f>
        <v/>
      </c>
      <c r="L419" s="2" t="inlineStr">
        <is>
          <t>3D-model</t>
        </is>
      </c>
      <c r="M419" s="2" t="inlineStr">
        <is>
          <t>Samsung</t>
        </is>
      </c>
      <c r="N419" s="2" t="inlineStr">
        <is>
          <t>Målt på Samsungs 3D-model af tv'et fra samsung.com (modellen for UN70DU7100FXZC): nederste VESA-hul 27,7 cm fra underkant. Metoden ramte 11 kendte mål med højst 1,2 cm afvigelse. Usikkerhed ca. ±1,5 cm.</t>
        </is>
      </c>
    </row>
    <row r="420">
      <c r="A420" s="2" t="inlineStr">
        <is>
          <t>Samsung</t>
        </is>
      </c>
      <c r="B420" s="2" t="inlineStr">
        <is>
          <t>DU7100</t>
        </is>
      </c>
      <c r="C420" s="2" t="inlineStr">
        <is>
          <t>DU7100 65 Inch 2024 Crystal UHD 4K TV</t>
        </is>
      </c>
      <c r="D420" s="2" t="inlineStr">
        <is>
          <t>UE65DU7100KXXU, TU65DU7100KXXC</t>
        </is>
      </c>
      <c r="E420" s="3" t="n">
        <v>65</v>
      </c>
      <c r="F420" s="3" t="n">
        <v>2024</v>
      </c>
      <c r="G420" s="4" t="n">
        <v>83.40000000000001</v>
      </c>
      <c r="H420" s="3" t="n">
        <v>400</v>
      </c>
      <c r="I420" s="3" t="n">
        <v>300</v>
      </c>
      <c r="J420" s="4" t="n">
        <v>29.8</v>
      </c>
      <c r="K420" s="4">
        <f>IF(ISNUMBER(J420),J420+I420/10,"")</f>
        <v/>
      </c>
      <c r="L420" s="2" t="inlineStr">
        <is>
          <t>3D-model</t>
        </is>
      </c>
      <c r="M420" s="2" t="inlineStr">
        <is>
          <t>Samsung</t>
        </is>
      </c>
      <c r="N420" s="2" t="inlineStr">
        <is>
          <t>Målt på Samsungs 3D-model af tv'et fra samsung.com (modellen for UN65DU7100FXZC): nederste VESA-hul 29,8 cm fra underkant. Metoden ramte 11 kendte mål med højst 1,2 cm afvigelse. Usikkerhed ca. ±1,5 cm.</t>
        </is>
      </c>
    </row>
    <row r="421">
      <c r="A421" s="2" t="inlineStr">
        <is>
          <t>Samsung</t>
        </is>
      </c>
      <c r="B421" s="2" t="inlineStr">
        <is>
          <t>DU7100</t>
        </is>
      </c>
      <c r="C421" s="2" t="inlineStr">
        <is>
          <t>DU7100 60 Inch 2024 Crystal UHD 4K TV</t>
        </is>
      </c>
      <c r="D421" s="2" t="inlineStr">
        <is>
          <t>UE60DU7100KXXU</t>
        </is>
      </c>
      <c r="E421" s="3" t="n">
        <v>60</v>
      </c>
      <c r="F421" s="3" t="n">
        <v>2024</v>
      </c>
      <c r="G421" s="4" t="n">
        <v>77.90000000000001</v>
      </c>
      <c r="H421" s="3" t="n">
        <v>400</v>
      </c>
      <c r="I421" s="3" t="n">
        <v>300</v>
      </c>
      <c r="J421" s="4" t="n">
        <v>26.1</v>
      </c>
      <c r="K421" s="4">
        <f>IF(ISNUMBER(J421),J421+I421/10,"")</f>
        <v/>
      </c>
      <c r="L421" s="2" t="inlineStr">
        <is>
          <t>3D-model</t>
        </is>
      </c>
      <c r="M421" s="2" t="inlineStr">
        <is>
          <t>Samsung</t>
        </is>
      </c>
      <c r="N421" s="2" t="inlineStr">
        <is>
          <t>Målt på Samsungs 3D-model af tv'et fra samsung.com (modellen for UN60DU7100FXZC): nederste VESA-hul 26,1 cm fra underkant. Metoden ramte 11 kendte mål med højst 1,2 cm afvigelse. Usikkerhed ca. ±1,5 cm.</t>
        </is>
      </c>
    </row>
    <row r="422">
      <c r="A422" s="2" t="inlineStr">
        <is>
          <t>Samsung</t>
        </is>
      </c>
      <c r="B422" s="2" t="inlineStr">
        <is>
          <t>DU7100</t>
        </is>
      </c>
      <c r="C422" s="2" t="inlineStr">
        <is>
          <t>DU7100 55 Inch 2024 Crystal UHD 4K TV</t>
        </is>
      </c>
      <c r="D422" s="2" t="inlineStr">
        <is>
          <t>UE55DU7100KXXU, TU55DU7100KXXC</t>
        </is>
      </c>
      <c r="E422" s="3" t="n">
        <v>55</v>
      </c>
      <c r="F422" s="3" t="n">
        <v>2024</v>
      </c>
      <c r="G422" s="4" t="n">
        <v>71.09999999999999</v>
      </c>
      <c r="H422" s="3" t="n">
        <v>200</v>
      </c>
      <c r="I422" s="3" t="n">
        <v>200</v>
      </c>
      <c r="J422" s="4" t="n">
        <v>28.7</v>
      </c>
      <c r="K422" s="4">
        <f>IF(ISNUMBER(J422),J422+I422/10,"")</f>
        <v/>
      </c>
      <c r="L422" s="2" t="inlineStr">
        <is>
          <t>3D-model</t>
        </is>
      </c>
      <c r="M422" s="2" t="inlineStr">
        <is>
          <t>Samsung</t>
        </is>
      </c>
      <c r="N422" s="2" t="inlineStr">
        <is>
          <t>Målt på Samsungs 3D-model af tv'et fra samsung.com (modellen for UN55DU7100FXZC): nederste VESA-hul 28,7 cm fra underkant. Metoden ramte 11 kendte mål med højst 1,2 cm afvigelse. Usikkerhed ca. ±1,5 cm.</t>
        </is>
      </c>
    </row>
    <row r="423">
      <c r="A423" s="2" t="inlineStr">
        <is>
          <t>Samsung</t>
        </is>
      </c>
      <c r="B423" s="2" t="inlineStr">
        <is>
          <t>DU7100</t>
        </is>
      </c>
      <c r="C423" s="2" t="inlineStr">
        <is>
          <t>DU7100 50 Inch 2024 Crystal UHD 4K TV</t>
        </is>
      </c>
      <c r="D423" s="2" t="inlineStr">
        <is>
          <t>UE50DU7100KXXU, TU50DU7100KXXC</t>
        </is>
      </c>
      <c r="E423" s="3" t="n">
        <v>50</v>
      </c>
      <c r="F423" s="3" t="n">
        <v>2024</v>
      </c>
      <c r="G423" s="4" t="n">
        <v>64.7</v>
      </c>
      <c r="H423" s="3" t="n">
        <v>200</v>
      </c>
      <c r="I423" s="3" t="n">
        <v>200</v>
      </c>
      <c r="J423" s="4" t="n">
        <v>28.8</v>
      </c>
      <c r="K423" s="4">
        <f>IF(ISNUMBER(J423),J423+I423/10,"")</f>
        <v/>
      </c>
      <c r="L423" s="2" t="inlineStr">
        <is>
          <t>3D-model</t>
        </is>
      </c>
      <c r="M423" s="2" t="inlineStr">
        <is>
          <t>Samsung</t>
        </is>
      </c>
      <c r="N423" s="2" t="inlineStr">
        <is>
          <t>Målt på Samsungs 3D-model af tv'et fra samsung.com (modellen for UN50DU7100FXZC): nederste VESA-hul 28,8 cm fra underkant. Metoden ramte 11 kendte mål med højst 1,2 cm afvigelse. Usikkerhed ca. ±1,5 cm.</t>
        </is>
      </c>
    </row>
    <row r="424">
      <c r="A424" s="2" t="inlineStr">
        <is>
          <t>Samsung</t>
        </is>
      </c>
      <c r="B424" s="2" t="inlineStr">
        <is>
          <t>DU7100</t>
        </is>
      </c>
      <c r="C424" s="2" t="inlineStr">
        <is>
          <t>DU7100 43 Inch 2024 Crystal UHD 4K TV</t>
        </is>
      </c>
      <c r="D424" s="2" t="inlineStr">
        <is>
          <t>UE43DU7100KXXU, TU43DU7100KXXC</t>
        </is>
      </c>
      <c r="E424" s="3" t="n">
        <v>43</v>
      </c>
      <c r="F424" s="3" t="n">
        <v>2024</v>
      </c>
      <c r="G424" s="4" t="n">
        <v>56.1</v>
      </c>
      <c r="H424" s="3" t="n">
        <v>200</v>
      </c>
      <c r="I424" s="3" t="n">
        <v>200</v>
      </c>
      <c r="J424" s="4" t="n">
        <v>21.8</v>
      </c>
      <c r="K424" s="4">
        <f>IF(ISNUMBER(J424),J424+I424/10,"")</f>
        <v/>
      </c>
      <c r="L424" s="2" t="inlineStr">
        <is>
          <t>3D-model</t>
        </is>
      </c>
      <c r="M424" s="2" t="inlineStr">
        <is>
          <t>Samsung</t>
        </is>
      </c>
      <c r="N424" s="2" t="inlineStr">
        <is>
          <t>Målt på Samsungs 3D-model af tv'et fra samsung.com: nederste VESA-hul 21,8 cm fra underkant. Metoden ramte 11 kendte mål med højst 1,2 cm afvigelse. Usikkerhed ca. ±1,5 cm.</t>
        </is>
      </c>
    </row>
    <row r="425">
      <c r="A425" s="2" t="inlineStr">
        <is>
          <t>Samsung</t>
        </is>
      </c>
      <c r="B425" s="2" t="inlineStr">
        <is>
          <t>DU7110</t>
        </is>
      </c>
      <c r="C425" s="2" t="inlineStr">
        <is>
          <t>DU7110 85 Inch 2024 Crystal UHD 4K TV</t>
        </is>
      </c>
      <c r="D425" s="2" t="inlineStr">
        <is>
          <t>UE85DU7110KXXU</t>
        </is>
      </c>
      <c r="E425" s="3" t="n">
        <v>85</v>
      </c>
      <c r="F425" s="3" t="n">
        <v>2024</v>
      </c>
      <c r="G425" s="4" t="n">
        <v>108.8</v>
      </c>
      <c r="H425" s="3" t="n">
        <v>600</v>
      </c>
      <c r="I425" s="3" t="n">
        <v>400</v>
      </c>
      <c r="J425" s="4" t="n"/>
      <c r="K425" s="4">
        <f>IF(ISNUMBER(J425),J425+I425/10,"")</f>
        <v/>
      </c>
      <c r="L425" s="2" t="inlineStr">
        <is>
          <t>estimat</t>
        </is>
      </c>
      <c r="M425" s="2" t="inlineStr"/>
      <c r="N425" s="2" t="inlineStr"/>
    </row>
    <row r="426">
      <c r="A426" s="2" t="inlineStr">
        <is>
          <t>Samsung</t>
        </is>
      </c>
      <c r="B426" s="2" t="inlineStr">
        <is>
          <t>DU7110</t>
        </is>
      </c>
      <c r="C426" s="2" t="inlineStr">
        <is>
          <t>DU7110 75 Inch 2024 Crystal UHD 4K TV</t>
        </is>
      </c>
      <c r="D426" s="2" t="inlineStr">
        <is>
          <t>UE75DU7110KXXU</t>
        </is>
      </c>
      <c r="E426" s="3" t="n">
        <v>75</v>
      </c>
      <c r="F426" s="3" t="n">
        <v>2024</v>
      </c>
      <c r="G426" s="4" t="n">
        <v>96.2</v>
      </c>
      <c r="H426" s="3" t="n">
        <v>400</v>
      </c>
      <c r="I426" s="3" t="n">
        <v>400</v>
      </c>
      <c r="J426" s="4" t="n"/>
      <c r="K426" s="4">
        <f>IF(ISNUMBER(J426),J426+I426/10,"")</f>
        <v/>
      </c>
      <c r="L426" s="2" t="inlineStr">
        <is>
          <t>estimat</t>
        </is>
      </c>
      <c r="M426" s="2" t="inlineStr"/>
      <c r="N426" s="2" t="inlineStr"/>
    </row>
    <row r="427">
      <c r="A427" s="2" t="inlineStr">
        <is>
          <t>Samsung</t>
        </is>
      </c>
      <c r="B427" s="2" t="inlineStr">
        <is>
          <t>DU7110</t>
        </is>
      </c>
      <c r="C427" s="2" t="inlineStr">
        <is>
          <t>DU7110 65 Inch 2024 Crystal UHD 4K TV</t>
        </is>
      </c>
      <c r="D427" s="2" t="inlineStr">
        <is>
          <t>UE65DU7110KXXU</t>
        </is>
      </c>
      <c r="E427" s="3" t="n">
        <v>65</v>
      </c>
      <c r="F427" s="3" t="n">
        <v>2024</v>
      </c>
      <c r="G427" s="4" t="n">
        <v>83.40000000000001</v>
      </c>
      <c r="H427" s="3" t="n">
        <v>400</v>
      </c>
      <c r="I427" s="3" t="n">
        <v>300</v>
      </c>
      <c r="J427" s="4" t="n"/>
      <c r="K427" s="4">
        <f>IF(ISNUMBER(J427),J427+I427/10,"")</f>
        <v/>
      </c>
      <c r="L427" s="2" t="inlineStr">
        <is>
          <t>estimat</t>
        </is>
      </c>
      <c r="M427" s="2" t="inlineStr"/>
      <c r="N427" s="2" t="inlineStr"/>
    </row>
    <row r="428">
      <c r="A428" s="2" t="inlineStr">
        <is>
          <t>Samsung</t>
        </is>
      </c>
      <c r="B428" s="2" t="inlineStr">
        <is>
          <t>DU7110</t>
        </is>
      </c>
      <c r="C428" s="2" t="inlineStr">
        <is>
          <t>DU7110 55 Inch 2024 Crystal UHD 4K TV</t>
        </is>
      </c>
      <c r="D428" s="2" t="inlineStr">
        <is>
          <t>UE55DU7110KXXU</t>
        </is>
      </c>
      <c r="E428" s="3" t="n">
        <v>55</v>
      </c>
      <c r="F428" s="3" t="n">
        <v>2024</v>
      </c>
      <c r="G428" s="4" t="n">
        <v>71.09999999999999</v>
      </c>
      <c r="H428" s="3" t="n">
        <v>200</v>
      </c>
      <c r="I428" s="3" t="n">
        <v>200</v>
      </c>
      <c r="J428" s="4" t="n"/>
      <c r="K428" s="4">
        <f>IF(ISNUMBER(J428),J428+I428/10,"")</f>
        <v/>
      </c>
      <c r="L428" s="2" t="inlineStr">
        <is>
          <t>estimat</t>
        </is>
      </c>
      <c r="M428" s="2" t="inlineStr"/>
      <c r="N428" s="2" t="inlineStr"/>
    </row>
    <row r="429">
      <c r="A429" s="2" t="inlineStr">
        <is>
          <t>Samsung</t>
        </is>
      </c>
      <c r="B429" s="2" t="inlineStr">
        <is>
          <t>DU7110</t>
        </is>
      </c>
      <c r="C429" s="2" t="inlineStr">
        <is>
          <t>DU7110 50 Inch 2024 Crystal UHD 4K TV</t>
        </is>
      </c>
      <c r="D429" s="2" t="inlineStr">
        <is>
          <t>UE50DU7110KXXU</t>
        </is>
      </c>
      <c r="E429" s="3" t="n">
        <v>50</v>
      </c>
      <c r="F429" s="3" t="n">
        <v>2024</v>
      </c>
      <c r="G429" s="4" t="n">
        <v>64.7</v>
      </c>
      <c r="H429" s="3" t="n">
        <v>200</v>
      </c>
      <c r="I429" s="3" t="n">
        <v>200</v>
      </c>
      <c r="J429" s="4" t="n"/>
      <c r="K429" s="4">
        <f>IF(ISNUMBER(J429),J429+I429/10,"")</f>
        <v/>
      </c>
      <c r="L429" s="2" t="inlineStr">
        <is>
          <t>estimat</t>
        </is>
      </c>
      <c r="M429" s="2" t="inlineStr"/>
      <c r="N429" s="2" t="inlineStr"/>
    </row>
    <row r="430">
      <c r="A430" s="2" t="inlineStr">
        <is>
          <t>Samsung</t>
        </is>
      </c>
      <c r="B430" s="2" t="inlineStr">
        <is>
          <t>DU7110</t>
        </is>
      </c>
      <c r="C430" s="2" t="inlineStr">
        <is>
          <t>DU7110 43 Inch 2024 Crystal UHD 4K TV</t>
        </is>
      </c>
      <c r="D430" s="2" t="inlineStr">
        <is>
          <t>UE43DU7110KXXU</t>
        </is>
      </c>
      <c r="E430" s="3" t="n">
        <v>43</v>
      </c>
      <c r="F430" s="3" t="n">
        <v>2024</v>
      </c>
      <c r="G430" s="4" t="n">
        <v>56.1</v>
      </c>
      <c r="H430" s="3" t="n">
        <v>200</v>
      </c>
      <c r="I430" s="3" t="n">
        <v>200</v>
      </c>
      <c r="J430" s="4" t="n"/>
      <c r="K430" s="4">
        <f>IF(ISNUMBER(J430),J430+I430/10,"")</f>
        <v/>
      </c>
      <c r="L430" s="2" t="inlineStr">
        <is>
          <t>estimat</t>
        </is>
      </c>
      <c r="M430" s="2" t="inlineStr"/>
      <c r="N430" s="2" t="inlineStr"/>
    </row>
    <row r="431">
      <c r="A431" s="2" t="inlineStr">
        <is>
          <t>Samsung</t>
        </is>
      </c>
      <c r="B431" s="2" t="inlineStr">
        <is>
          <t>DU8000</t>
        </is>
      </c>
      <c r="C431" s="2" t="inlineStr">
        <is>
          <t>DU8000 85 Inch 2024 Crystal UHD 4K TV</t>
        </is>
      </c>
      <c r="D431" s="2" t="inlineStr">
        <is>
          <t>UE85DU8000KXXU</t>
        </is>
      </c>
      <c r="E431" s="3" t="n">
        <v>85</v>
      </c>
      <c r="F431" s="3" t="n">
        <v>2024</v>
      </c>
      <c r="G431" s="4" t="n">
        <v>108.6</v>
      </c>
      <c r="H431" s="3" t="n">
        <v>600</v>
      </c>
      <c r="I431" s="3" t="n">
        <v>400</v>
      </c>
      <c r="J431" s="4" t="n"/>
      <c r="K431" s="4">
        <f>IF(ISNUMBER(J431),J431+I431/10,"")</f>
        <v/>
      </c>
      <c r="L431" s="2" t="inlineStr">
        <is>
          <t>estimat</t>
        </is>
      </c>
      <c r="M431" s="2" t="inlineStr"/>
      <c r="N431" s="2" t="inlineStr"/>
    </row>
    <row r="432">
      <c r="A432" s="2" t="inlineStr">
        <is>
          <t>Samsung</t>
        </is>
      </c>
      <c r="B432" s="2" t="inlineStr">
        <is>
          <t>DU8000</t>
        </is>
      </c>
      <c r="C432" s="2" t="inlineStr">
        <is>
          <t>DU8000 75 Inch 2024 Crystal UHD 4K TV</t>
        </is>
      </c>
      <c r="D432" s="2" t="inlineStr">
        <is>
          <t>UE75DU8000KXXU</t>
        </is>
      </c>
      <c r="E432" s="3" t="n">
        <v>75</v>
      </c>
      <c r="F432" s="3" t="n">
        <v>2024</v>
      </c>
      <c r="G432" s="4" t="n">
        <v>96</v>
      </c>
      <c r="H432" s="3" t="n">
        <v>400</v>
      </c>
      <c r="I432" s="3" t="n">
        <v>400</v>
      </c>
      <c r="J432" s="4" t="n"/>
      <c r="K432" s="4">
        <f>IF(ISNUMBER(J432),J432+I432/10,"")</f>
        <v/>
      </c>
      <c r="L432" s="2" t="inlineStr">
        <is>
          <t>estimat</t>
        </is>
      </c>
      <c r="M432" s="2" t="inlineStr"/>
      <c r="N432" s="2" t="inlineStr"/>
    </row>
    <row r="433">
      <c r="A433" s="2" t="inlineStr">
        <is>
          <t>Samsung</t>
        </is>
      </c>
      <c r="B433" s="2" t="inlineStr">
        <is>
          <t>DU8000</t>
        </is>
      </c>
      <c r="C433" s="2" t="inlineStr">
        <is>
          <t>DU8000 65 Inch 2024 Crystal UHD 4K TV</t>
        </is>
      </c>
      <c r="D433" s="2" t="inlineStr">
        <is>
          <t>UE65DU8000KXXU, UE65DU8000KXXC</t>
        </is>
      </c>
      <c r="E433" s="3" t="n">
        <v>65</v>
      </c>
      <c r="F433" s="3" t="n">
        <v>2024</v>
      </c>
      <c r="G433" s="4" t="n">
        <v>83.2</v>
      </c>
      <c r="H433" s="3" t="n">
        <v>400</v>
      </c>
      <c r="I433" s="3" t="n">
        <v>300</v>
      </c>
      <c r="J433" s="4" t="n"/>
      <c r="K433" s="4">
        <f>IF(ISNUMBER(J433),J433+I433/10,"")</f>
        <v/>
      </c>
      <c r="L433" s="2" t="inlineStr">
        <is>
          <t>estimat</t>
        </is>
      </c>
      <c r="M433" s="2" t="inlineStr"/>
      <c r="N433" s="2" t="inlineStr"/>
    </row>
    <row r="434">
      <c r="A434" s="2" t="inlineStr">
        <is>
          <t>Samsung</t>
        </is>
      </c>
      <c r="B434" s="2" t="inlineStr">
        <is>
          <t>DU8000</t>
        </is>
      </c>
      <c r="C434" s="2" t="inlineStr">
        <is>
          <t>DU8000 55 Inch 2024 Crystal UHD 4K TV</t>
        </is>
      </c>
      <c r="D434" s="2" t="inlineStr">
        <is>
          <t>UE55DU8000KXXU, UE55DU8000KXXC</t>
        </is>
      </c>
      <c r="E434" s="3" t="n">
        <v>55</v>
      </c>
      <c r="F434" s="3" t="n">
        <v>2024</v>
      </c>
      <c r="G434" s="4" t="n">
        <v>70.90000000000001</v>
      </c>
      <c r="H434" s="3" t="n">
        <v>200</v>
      </c>
      <c r="I434" s="3" t="n">
        <v>200</v>
      </c>
      <c r="J434" s="4" t="n"/>
      <c r="K434" s="4">
        <f>IF(ISNUMBER(J434),J434+I434/10,"")</f>
        <v/>
      </c>
      <c r="L434" s="2" t="inlineStr">
        <is>
          <t>estimat</t>
        </is>
      </c>
      <c r="M434" s="2" t="inlineStr"/>
      <c r="N434" s="2" t="inlineStr"/>
    </row>
    <row r="435">
      <c r="A435" s="2" t="inlineStr">
        <is>
          <t>Samsung</t>
        </is>
      </c>
      <c r="B435" s="2" t="inlineStr">
        <is>
          <t>DU8000</t>
        </is>
      </c>
      <c r="C435" s="2" t="inlineStr">
        <is>
          <t>DU8000 50 Inch 2024 Crystal UHD 4K TV</t>
        </is>
      </c>
      <c r="D435" s="2" t="inlineStr">
        <is>
          <t>UE50DU8000KXXU</t>
        </is>
      </c>
      <c r="E435" s="3" t="n">
        <v>50</v>
      </c>
      <c r="F435" s="3" t="n">
        <v>2024</v>
      </c>
      <c r="G435" s="4" t="n">
        <v>64.5</v>
      </c>
      <c r="H435" s="3" t="n">
        <v>200</v>
      </c>
      <c r="I435" s="3" t="n">
        <v>200</v>
      </c>
      <c r="J435" s="4" t="n"/>
      <c r="K435" s="4">
        <f>IF(ISNUMBER(J435),J435+I435/10,"")</f>
        <v/>
      </c>
      <c r="L435" s="2" t="inlineStr">
        <is>
          <t>estimat</t>
        </is>
      </c>
      <c r="M435" s="2" t="inlineStr"/>
      <c r="N435" s="2" t="inlineStr"/>
    </row>
    <row r="436">
      <c r="A436" s="2" t="inlineStr">
        <is>
          <t>Samsung</t>
        </is>
      </c>
      <c r="B436" s="2" t="inlineStr">
        <is>
          <t>DU8000</t>
        </is>
      </c>
      <c r="C436" s="2" t="inlineStr">
        <is>
          <t>DU8000 43 Inch 2024 Crystal UHD 4K TV</t>
        </is>
      </c>
      <c r="D436" s="2" t="inlineStr">
        <is>
          <t>UE43DU8000KXXU, UE43DU8000KXXC</t>
        </is>
      </c>
      <c r="E436" s="3" t="n">
        <v>43</v>
      </c>
      <c r="F436" s="3" t="n">
        <v>2024</v>
      </c>
      <c r="G436" s="4" t="n">
        <v>56</v>
      </c>
      <c r="H436" s="3" t="n">
        <v>200</v>
      </c>
      <c r="I436" s="3" t="n">
        <v>200</v>
      </c>
      <c r="J436" s="4" t="n"/>
      <c r="K436" s="4">
        <f>IF(ISNUMBER(J436),J436+I436/10,"")</f>
        <v/>
      </c>
      <c r="L436" s="2" t="inlineStr">
        <is>
          <t>estimat</t>
        </is>
      </c>
      <c r="M436" s="2" t="inlineStr"/>
      <c r="N436" s="2" t="inlineStr"/>
    </row>
    <row r="437">
      <c r="A437" s="2" t="inlineStr">
        <is>
          <t>Samsung</t>
        </is>
      </c>
      <c r="B437" s="2" t="inlineStr">
        <is>
          <t>DU8070</t>
        </is>
      </c>
      <c r="C437" s="2" t="inlineStr">
        <is>
          <t>DU8070 85 Inch 2024 Crystal UHD 4K TV</t>
        </is>
      </c>
      <c r="D437" s="2" t="inlineStr">
        <is>
          <t>UE85DU8070UXXU, UE85DU8070UXXN</t>
        </is>
      </c>
      <c r="E437" s="3" t="n">
        <v>85</v>
      </c>
      <c r="F437" s="3" t="n">
        <v>2024</v>
      </c>
      <c r="G437" s="4" t="n">
        <v>108.6</v>
      </c>
      <c r="H437" s="3" t="n">
        <v>600</v>
      </c>
      <c r="I437" s="3" t="n">
        <v>400</v>
      </c>
      <c r="J437" s="4" t="n"/>
      <c r="K437" s="4">
        <f>IF(ISNUMBER(J437),J437+I437/10,"")</f>
        <v/>
      </c>
      <c r="L437" s="2" t="inlineStr">
        <is>
          <t>estimat</t>
        </is>
      </c>
      <c r="M437" s="2" t="inlineStr"/>
      <c r="N437" s="2" t="inlineStr"/>
    </row>
    <row r="438">
      <c r="A438" s="2" t="inlineStr">
        <is>
          <t>Samsung</t>
        </is>
      </c>
      <c r="B438" s="2" t="inlineStr">
        <is>
          <t>DU8070</t>
        </is>
      </c>
      <c r="C438" s="2" t="inlineStr">
        <is>
          <t>DU8070 75 Inch 2024 Crystal UHD 4K TV</t>
        </is>
      </c>
      <c r="D438" s="2" t="inlineStr">
        <is>
          <t>UE75DU8070UXXU</t>
        </is>
      </c>
      <c r="E438" s="3" t="n">
        <v>75</v>
      </c>
      <c r="F438" s="3" t="n">
        <v>2024</v>
      </c>
      <c r="G438" s="4" t="n">
        <v>96</v>
      </c>
      <c r="H438" s="3" t="n">
        <v>400</v>
      </c>
      <c r="I438" s="3" t="n">
        <v>400</v>
      </c>
      <c r="J438" s="4" t="n"/>
      <c r="K438" s="4">
        <f>IF(ISNUMBER(J438),J438+I438/10,"")</f>
        <v/>
      </c>
      <c r="L438" s="2" t="inlineStr">
        <is>
          <t>estimat</t>
        </is>
      </c>
      <c r="M438" s="2" t="inlineStr"/>
      <c r="N438" s="2" t="inlineStr"/>
    </row>
    <row r="439">
      <c r="A439" s="2" t="inlineStr">
        <is>
          <t>Samsung</t>
        </is>
      </c>
      <c r="B439" s="2" t="inlineStr">
        <is>
          <t>DU8070</t>
        </is>
      </c>
      <c r="C439" s="2" t="inlineStr">
        <is>
          <t>DU8070 65 Inch 2024 Crystal UHD 4K TV</t>
        </is>
      </c>
      <c r="D439" s="2" t="inlineStr">
        <is>
          <t>UE65DU8070UXXU</t>
        </is>
      </c>
      <c r="E439" s="3" t="n">
        <v>65</v>
      </c>
      <c r="F439" s="3" t="n">
        <v>2024</v>
      </c>
      <c r="G439" s="4" t="n">
        <v>83.2</v>
      </c>
      <c r="H439" s="3" t="n">
        <v>400</v>
      </c>
      <c r="I439" s="3" t="n">
        <v>300</v>
      </c>
      <c r="J439" s="4" t="n"/>
      <c r="K439" s="4">
        <f>IF(ISNUMBER(J439),J439+I439/10,"")</f>
        <v/>
      </c>
      <c r="L439" s="2" t="inlineStr">
        <is>
          <t>estimat</t>
        </is>
      </c>
      <c r="M439" s="2" t="inlineStr"/>
      <c r="N439" s="2" t="inlineStr"/>
    </row>
    <row r="440">
      <c r="A440" s="2" t="inlineStr">
        <is>
          <t>Samsung</t>
        </is>
      </c>
      <c r="B440" s="2" t="inlineStr">
        <is>
          <t>DU8070</t>
        </is>
      </c>
      <c r="C440" s="2" t="inlineStr">
        <is>
          <t>DU8070 55 Inch 2024 Crystal UHD 4K TV</t>
        </is>
      </c>
      <c r="D440" s="2" t="inlineStr">
        <is>
          <t>UE55DU8070UXXU</t>
        </is>
      </c>
      <c r="E440" s="3" t="n">
        <v>55</v>
      </c>
      <c r="F440" s="3" t="n">
        <v>2024</v>
      </c>
      <c r="G440" s="4" t="n">
        <v>70.90000000000001</v>
      </c>
      <c r="H440" s="3" t="n">
        <v>200</v>
      </c>
      <c r="I440" s="3" t="n">
        <v>200</v>
      </c>
      <c r="J440" s="4" t="n"/>
      <c r="K440" s="4">
        <f>IF(ISNUMBER(J440),J440+I440/10,"")</f>
        <v/>
      </c>
      <c r="L440" s="2" t="inlineStr">
        <is>
          <t>estimat</t>
        </is>
      </c>
      <c r="M440" s="2" t="inlineStr"/>
      <c r="N440" s="2" t="inlineStr"/>
    </row>
    <row r="441">
      <c r="A441" s="2" t="inlineStr">
        <is>
          <t>Samsung</t>
        </is>
      </c>
      <c r="B441" s="2" t="inlineStr">
        <is>
          <t>DU8070</t>
        </is>
      </c>
      <c r="C441" s="2" t="inlineStr">
        <is>
          <t>DU8070 50 Inch 2024 Crystal UHD 4K TV</t>
        </is>
      </c>
      <c r="D441" s="2" t="inlineStr">
        <is>
          <t>UE50DU8070UXXU</t>
        </is>
      </c>
      <c r="E441" s="3" t="n">
        <v>50</v>
      </c>
      <c r="F441" s="3" t="n">
        <v>2024</v>
      </c>
      <c r="G441" s="4" t="n">
        <v>64.5</v>
      </c>
      <c r="H441" s="3" t="n">
        <v>200</v>
      </c>
      <c r="I441" s="3" t="n">
        <v>200</v>
      </c>
      <c r="J441" s="4" t="n"/>
      <c r="K441" s="4">
        <f>IF(ISNUMBER(J441),J441+I441/10,"")</f>
        <v/>
      </c>
      <c r="L441" s="2" t="inlineStr">
        <is>
          <t>estimat</t>
        </is>
      </c>
      <c r="M441" s="2" t="inlineStr"/>
      <c r="N441" s="2" t="inlineStr"/>
    </row>
    <row r="442">
      <c r="A442" s="2" t="inlineStr">
        <is>
          <t>Samsung</t>
        </is>
      </c>
      <c r="B442" s="2" t="inlineStr">
        <is>
          <t>DU8070</t>
        </is>
      </c>
      <c r="C442" s="2" t="inlineStr">
        <is>
          <t>DU8070 43 Inch 2024 Crystal UHD 4K TV</t>
        </is>
      </c>
      <c r="D442" s="2" t="inlineStr">
        <is>
          <t>UE43DU8070UXXU</t>
        </is>
      </c>
      <c r="E442" s="3" t="n">
        <v>43</v>
      </c>
      <c r="F442" s="3" t="n">
        <v>2024</v>
      </c>
      <c r="G442" s="4" t="n">
        <v>56</v>
      </c>
      <c r="H442" s="3" t="n">
        <v>200</v>
      </c>
      <c r="I442" s="3" t="n">
        <v>200</v>
      </c>
      <c r="J442" s="4" t="n"/>
      <c r="K442" s="4">
        <f>IF(ISNUMBER(J442),J442+I442/10,"")</f>
        <v/>
      </c>
      <c r="L442" s="2" t="inlineStr">
        <is>
          <t>estimat</t>
        </is>
      </c>
      <c r="M442" s="2" t="inlineStr"/>
      <c r="N442" s="2" t="inlineStr"/>
    </row>
    <row r="443">
      <c r="A443" s="2" t="inlineStr">
        <is>
          <t>Samsung</t>
        </is>
      </c>
      <c r="B443" s="2" t="inlineStr">
        <is>
          <t>DU9000</t>
        </is>
      </c>
      <c r="C443" s="2" t="inlineStr">
        <is>
          <t>DU9000 98 Inch 2024 Crystal UHD 4K TV</t>
        </is>
      </c>
      <c r="D443" s="2" t="inlineStr">
        <is>
          <t>UE98DU9000UXXU</t>
        </is>
      </c>
      <c r="E443" s="3" t="n">
        <v>98</v>
      </c>
      <c r="F443" s="3" t="n">
        <v>2024</v>
      </c>
      <c r="G443" s="4" t="n">
        <v>124.4</v>
      </c>
      <c r="H443" s="3" t="n">
        <v>600</v>
      </c>
      <c r="I443" s="3" t="n">
        <v>400</v>
      </c>
      <c r="J443" s="4" t="n">
        <v>47.6</v>
      </c>
      <c r="K443" s="4">
        <f>IF(ISNUMBER(J443),J443+I443/10,"")</f>
        <v/>
      </c>
      <c r="L443" s="2" t="inlineStr">
        <is>
          <t>3D-model</t>
        </is>
      </c>
      <c r="M443" s="2" t="inlineStr">
        <is>
          <t>Samsung</t>
        </is>
      </c>
      <c r="N443" s="2" t="inlineStr">
        <is>
          <t>Målt på Samsungs 3D-model af tv'et fra samsung.com: nederste VESA-hul 47,6 cm fra underkant. Metoden ramte 11 kendte mål med højst 1,2 cm afvigelse. Usikkerhed ca. ±1,5 cm.</t>
        </is>
      </c>
    </row>
    <row r="444">
      <c r="A444" s="2" t="inlineStr">
        <is>
          <t>Samsung</t>
        </is>
      </c>
      <c r="B444" s="2" t="inlineStr">
        <is>
          <t>F6000</t>
        </is>
      </c>
      <c r="C444" s="2" t="inlineStr">
        <is>
          <t>2025 F6000 40 inch Full HD Smart TV</t>
        </is>
      </c>
      <c r="D444" s="2" t="inlineStr">
        <is>
          <t>UE40F6000FKXXU</t>
        </is>
      </c>
      <c r="E444" s="3" t="n">
        <v>40</v>
      </c>
      <c r="F444" s="3" t="n">
        <v>2025</v>
      </c>
      <c r="G444" s="4" t="n">
        <v>51.9</v>
      </c>
      <c r="H444" s="3" t="n">
        <v>200</v>
      </c>
      <c r="I444" s="3" t="n">
        <v>200</v>
      </c>
      <c r="J444" s="4" t="n">
        <v>14.1</v>
      </c>
      <c r="K444" s="4">
        <f>IF(ISNUMBER(J444),J444+I444/10,"")</f>
        <v/>
      </c>
      <c r="L444" s="2" t="inlineStr">
        <is>
          <t>3D-model</t>
        </is>
      </c>
      <c r="M444" s="2" t="inlineStr">
        <is>
          <t>Samsung</t>
        </is>
      </c>
      <c r="N444" s="2" t="inlineStr">
        <is>
          <t>Målt på Samsungs 3D-model af tv'et fra samsung.com (modellen for UE40F6000FUXXN): nederste VESA-hul 14,1 cm fra underkant. Metoden ramte 11 kendte mål med højst 1,2 cm afvigelse. Usikkerhed ca. ±1,5 cm.</t>
        </is>
      </c>
    </row>
    <row r="445">
      <c r="A445" s="2" t="inlineStr">
        <is>
          <t>Samsung</t>
        </is>
      </c>
      <c r="B445" s="2" t="inlineStr">
        <is>
          <t>F6000</t>
        </is>
      </c>
      <c r="C445" s="2" t="inlineStr">
        <is>
          <t>2025 F6000 32 inch Full HD Smart TV</t>
        </is>
      </c>
      <c r="D445" s="2" t="inlineStr">
        <is>
          <t>UE32F6000FKXXU</t>
        </is>
      </c>
      <c r="E445" s="3" t="n">
        <v>32</v>
      </c>
      <c r="F445" s="3" t="n">
        <v>2025</v>
      </c>
      <c r="G445" s="4" t="n">
        <v>43.9</v>
      </c>
      <c r="H445" s="3" t="n">
        <v>200</v>
      </c>
      <c r="I445" s="3" t="n">
        <v>200</v>
      </c>
      <c r="J445" s="4" t="n">
        <v>11.3</v>
      </c>
      <c r="K445" s="4">
        <f>IF(ISNUMBER(J445),J445+I445/10,"")</f>
        <v/>
      </c>
      <c r="L445" s="2" t="inlineStr">
        <is>
          <t>3D-model</t>
        </is>
      </c>
      <c r="M445" s="2" t="inlineStr">
        <is>
          <t>Samsung</t>
        </is>
      </c>
      <c r="N445" s="2" t="inlineStr">
        <is>
          <t>Målt på Samsungs 3D-model af tv'et fra samsung.com (modellen for UE32F6000FUXXN): nederste VESA-hul 11,3 cm fra underkant. Metoden ramte 11 kendte mål med højst 1,2 cm afvigelse. Usikkerhed ca. ±1,5 cm.</t>
        </is>
      </c>
    </row>
    <row r="446">
      <c r="A446" s="2" t="inlineStr">
        <is>
          <t>Samsung</t>
        </is>
      </c>
      <c r="B446" s="2" t="inlineStr">
        <is>
          <t>F6000</t>
        </is>
      </c>
      <c r="C446" s="2" t="inlineStr">
        <is>
          <t>2025 F6000 27 inch Full HD Smart TV</t>
        </is>
      </c>
      <c r="D446" s="2" t="inlineStr">
        <is>
          <t>UE27F6000FKXXU</t>
        </is>
      </c>
      <c r="E446" s="3" t="n">
        <v>27</v>
      </c>
      <c r="F446" s="3" t="n">
        <v>2025</v>
      </c>
      <c r="G446" s="4" t="n">
        <v>37</v>
      </c>
      <c r="H446" s="3" t="n">
        <v>100</v>
      </c>
      <c r="I446" s="3" t="n">
        <v>100</v>
      </c>
      <c r="J446" s="4" t="n"/>
      <c r="K446" s="4">
        <f>IF(ISNUMBER(J446),J446+I446/10,"")</f>
        <v/>
      </c>
      <c r="L446" s="2" t="inlineStr">
        <is>
          <t>estimat</t>
        </is>
      </c>
      <c r="M446" s="2" t="inlineStr"/>
      <c r="N446" s="2" t="inlineStr"/>
    </row>
    <row r="447">
      <c r="A447" s="2" t="inlineStr">
        <is>
          <t>Samsung</t>
        </is>
      </c>
      <c r="B447" s="2" t="inlineStr">
        <is>
          <t>F6000</t>
        </is>
      </c>
      <c r="C447" s="2" t="inlineStr">
        <is>
          <t>2025 F6000 24 inch Full HD Smart TV</t>
        </is>
      </c>
      <c r="D447" s="2" t="inlineStr">
        <is>
          <t>UE24F6000FKXXU</t>
        </is>
      </c>
      <c r="E447" s="3" t="n">
        <v>24</v>
      </c>
      <c r="F447" s="3" t="n">
        <v>2025</v>
      </c>
      <c r="G447" s="4" t="n">
        <v>32.9</v>
      </c>
      <c r="H447" s="3" t="n">
        <v>100</v>
      </c>
      <c r="I447" s="3" t="n">
        <v>100</v>
      </c>
      <c r="J447" s="4" t="n"/>
      <c r="K447" s="4">
        <f>IF(ISNUMBER(J447),J447+I447/10,"")</f>
        <v/>
      </c>
      <c r="L447" s="2" t="inlineStr">
        <is>
          <t>estimat</t>
        </is>
      </c>
      <c r="M447" s="2" t="inlineStr"/>
      <c r="N447" s="2" t="inlineStr"/>
    </row>
    <row r="448">
      <c r="A448" s="2" t="inlineStr">
        <is>
          <t>Samsung</t>
        </is>
      </c>
      <c r="B448" s="2" t="inlineStr">
        <is>
          <t>H5000</t>
        </is>
      </c>
      <c r="C448" s="2" t="inlineStr">
        <is>
          <t>2025 H5000 32 inch HD Smart TV</t>
        </is>
      </c>
      <c r="D448" s="2" t="inlineStr">
        <is>
          <t>UE32H5000FKXXU</t>
        </is>
      </c>
      <c r="E448" s="3" t="n">
        <v>32</v>
      </c>
      <c r="F448" s="3" t="n">
        <v>2025</v>
      </c>
      <c r="G448" s="4" t="n">
        <v>43.9</v>
      </c>
      <c r="H448" s="3" t="n">
        <v>200</v>
      </c>
      <c r="I448" s="3" t="n">
        <v>200</v>
      </c>
      <c r="J448" s="4" t="n"/>
      <c r="K448" s="4">
        <f>IF(ISNUMBER(J448),J448+I448/10,"")</f>
        <v/>
      </c>
      <c r="L448" s="2" t="inlineStr">
        <is>
          <t>estimat</t>
        </is>
      </c>
      <c r="M448" s="2" t="inlineStr"/>
      <c r="N448" s="2" t="inlineStr"/>
    </row>
    <row r="449">
      <c r="A449" s="2" t="inlineStr">
        <is>
          <t>Samsung</t>
        </is>
      </c>
      <c r="B449" s="2" t="inlineStr">
        <is>
          <t>H5020</t>
        </is>
      </c>
      <c r="C449" s="2" t="inlineStr">
        <is>
          <t>2025 H5020 32 inch HD Smart TV</t>
        </is>
      </c>
      <c r="D449" s="2" t="inlineStr">
        <is>
          <t>UE32H5020FKXXU</t>
        </is>
      </c>
      <c r="E449" s="3" t="n">
        <v>32</v>
      </c>
      <c r="F449" s="3" t="n">
        <v>2025</v>
      </c>
      <c r="G449" s="4" t="n">
        <v>43.9</v>
      </c>
      <c r="H449" s="3" t="n">
        <v>200</v>
      </c>
      <c r="I449" s="3" t="n">
        <v>200</v>
      </c>
      <c r="J449" s="4" t="n"/>
      <c r="K449" s="4">
        <f>IF(ISNUMBER(J449),J449+I449/10,"")</f>
        <v/>
      </c>
      <c r="L449" s="2" t="inlineStr">
        <is>
          <t>estimat</t>
        </is>
      </c>
      <c r="M449" s="2" t="inlineStr"/>
      <c r="N449" s="2" t="inlineStr"/>
    </row>
    <row r="450">
      <c r="A450" s="2" t="inlineStr">
        <is>
          <t>Samsung</t>
        </is>
      </c>
      <c r="B450" s="2" t="inlineStr">
        <is>
          <t>LS03H</t>
        </is>
      </c>
      <c r="C450" s="2" t="inlineStr">
        <is>
          <t>65" The Frame Pro LS03HW Vision AI Smart TV (2026)</t>
        </is>
      </c>
      <c r="D450" s="2" t="inlineStr">
        <is>
          <t>QE65LS03HWUXXN, QE65LS03HAUXXU, TQ65LS03HAUXXC, TQ65LS03HWUXXC, GQ65LS03HAUXZG, GQ65LS03HWUXZG, QE65LS03HWUXZT</t>
        </is>
      </c>
      <c r="E450" s="3" t="n">
        <v>65</v>
      </c>
      <c r="F450" s="3" t="n">
        <v>2026</v>
      </c>
      <c r="G450" s="4" t="n">
        <v>83.7</v>
      </c>
      <c r="H450" s="3" t="n">
        <v>400</v>
      </c>
      <c r="I450" s="3" t="n">
        <v>300</v>
      </c>
      <c r="J450" s="4" t="n"/>
      <c r="K450" s="4">
        <f>IF(ISNUMBER(J450),J450+I450/10,"")</f>
        <v/>
      </c>
      <c r="L450" s="2" t="inlineStr">
        <is>
          <t>estimat</t>
        </is>
      </c>
      <c r="M450" s="2" t="inlineStr"/>
      <c r="N450" s="2" t="inlineStr"/>
    </row>
    <row r="451">
      <c r="A451" s="2" t="inlineStr">
        <is>
          <t>Samsung</t>
        </is>
      </c>
      <c r="B451" s="2" t="inlineStr">
        <is>
          <t>LS03H</t>
        </is>
      </c>
      <c r="C451" s="2" t="inlineStr">
        <is>
          <t>55" The Frame Pro LS03HW Vision AI Smart TV (2026)</t>
        </is>
      </c>
      <c r="D451" s="2" t="inlineStr">
        <is>
          <t>QE55LS03HWUXXN, QE55LS03HAUXXU, TQ55LS03HAUXXC, TQ55LS03HWUXXC, GQ55LS03HAUXZG, GQ55LS03HWUXZG, QE55LS03HWUXZT</t>
        </is>
      </c>
      <c r="E451" s="3" t="n">
        <v>55</v>
      </c>
      <c r="F451" s="3" t="n">
        <v>2026</v>
      </c>
      <c r="G451" s="4" t="n">
        <v>71.40000000000001</v>
      </c>
      <c r="H451" s="3" t="n">
        <v>200</v>
      </c>
      <c r="I451" s="3" t="n">
        <v>200</v>
      </c>
      <c r="J451" s="4" t="n"/>
      <c r="K451" s="4">
        <f>IF(ISNUMBER(J451),J451+I451/10,"")</f>
        <v/>
      </c>
      <c r="L451" s="2" t="inlineStr">
        <is>
          <t>estimat</t>
        </is>
      </c>
      <c r="M451" s="2" t="inlineStr"/>
      <c r="N451" s="2" t="inlineStr"/>
    </row>
    <row r="452">
      <c r="A452" s="2" t="inlineStr">
        <is>
          <t>Samsung</t>
        </is>
      </c>
      <c r="B452" s="2" t="inlineStr">
        <is>
          <t>LS03H</t>
        </is>
      </c>
      <c r="C452" s="2" t="inlineStr">
        <is>
          <t>43" The Frame LS03HA Vision AI Smart TV (2026)</t>
        </is>
      </c>
      <c r="D452" s="2" t="inlineStr">
        <is>
          <t>QE43LS03HEUXXN, QE43LS03HEUXXU, TQ43LS03HEUXXC, GQ43LS03HEUXZG, QE43LS03HEUXZT</t>
        </is>
      </c>
      <c r="E452" s="3" t="n">
        <v>43</v>
      </c>
      <c r="F452" s="3" t="n">
        <v>2026</v>
      </c>
      <c r="G452" s="4" t="n">
        <v>55.8</v>
      </c>
      <c r="H452" s="3" t="n">
        <v>200</v>
      </c>
      <c r="I452" s="3" t="n">
        <v>200</v>
      </c>
      <c r="J452" s="4" t="n">
        <v>16.7</v>
      </c>
      <c r="K452" s="4">
        <f>IF(ISNUMBER(J452),J452+I452/10,"")</f>
        <v/>
      </c>
      <c r="L452" s="2" t="inlineStr">
        <is>
          <t>3D-model</t>
        </is>
      </c>
      <c r="M452" s="2" t="inlineStr">
        <is>
          <t>Samsung</t>
        </is>
      </c>
      <c r="N452" s="2" t="inlineStr">
        <is>
          <t>Målt på Samsungs 3D-model af tv'et fra samsung.com: nederste VESA-hul 16,7 cm fra underkant. Metoden ramte 11 kendte mål med højst 1,2 cm afvigelse. Usikkerhed ca. ±1,5 cm.</t>
        </is>
      </c>
    </row>
    <row r="453">
      <c r="A453" s="2" t="inlineStr">
        <is>
          <t>Samsung</t>
        </is>
      </c>
      <c r="B453" s="2" t="inlineStr">
        <is>
          <t>M1EH</t>
        </is>
      </c>
      <c r="C453" s="2" t="inlineStr">
        <is>
          <t>2026 M1EH 75 inch 4K Mini LED Samsung Vision AI TV</t>
        </is>
      </c>
      <c r="D453" s="2" t="inlineStr">
        <is>
          <t>UE75M1EHAUXXU, UE75M1EHAUXXN, TU75M1EHBUXNA, GU75M1EHAUXZG, UE75M1EHAUXZT</t>
        </is>
      </c>
      <c r="E453" s="3" t="n">
        <v>75</v>
      </c>
      <c r="F453" s="3" t="n">
        <v>2026</v>
      </c>
      <c r="G453" s="4" t="n">
        <v>95.8</v>
      </c>
      <c r="H453" s="3" t="n">
        <v>400</v>
      </c>
      <c r="I453" s="3" t="n">
        <v>300</v>
      </c>
      <c r="J453" s="4" t="n">
        <v>19.9</v>
      </c>
      <c r="K453" s="4">
        <f>IF(ISNUMBER(J453),J453+I453/10,"")</f>
        <v/>
      </c>
      <c r="L453" s="2" t="inlineStr">
        <is>
          <t>3D-model</t>
        </is>
      </c>
      <c r="M453" s="2" t="inlineStr">
        <is>
          <t>Samsung</t>
        </is>
      </c>
      <c r="N453" s="2" t="inlineStr">
        <is>
          <t>Målt på Samsungs 3D-model af tv'et fra samsung.com: nederste VESA-hul 19,9 cm fra underkant. Metoden ramte 11 kendte mål med højst 1,2 cm afvigelse. Usikkerhed ca. ±1,5 cm.</t>
        </is>
      </c>
    </row>
    <row r="454">
      <c r="A454" s="2" t="inlineStr">
        <is>
          <t>Samsung</t>
        </is>
      </c>
      <c r="B454" s="2" t="inlineStr">
        <is>
          <t>M1EH</t>
        </is>
      </c>
      <c r="C454" s="2" t="inlineStr">
        <is>
          <t>2026 M1EH 65 inch 4K Mini LED Samsung Vision AI TV</t>
        </is>
      </c>
      <c r="D454" s="2" t="inlineStr">
        <is>
          <t>UE65M1EHAUXXU, UE65M1EHAUXXN, TU65M1EHBUXNA, GU65M1EHAUXZG, UE65M1EHAUXZT</t>
        </is>
      </c>
      <c r="E454" s="3" t="n">
        <v>65</v>
      </c>
      <c r="F454" s="3" t="n">
        <v>2026</v>
      </c>
      <c r="G454" s="4" t="n">
        <v>83.09999999999999</v>
      </c>
      <c r="H454" s="3" t="n">
        <v>200</v>
      </c>
      <c r="I454" s="3" t="n">
        <v>200</v>
      </c>
      <c r="J454" s="4" t="n"/>
      <c r="K454" s="4">
        <f>IF(ISNUMBER(J454),J454+I454/10,"")</f>
        <v/>
      </c>
      <c r="L454" s="2" t="inlineStr">
        <is>
          <t>estimat</t>
        </is>
      </c>
      <c r="M454" s="2" t="inlineStr"/>
      <c r="N454" s="2" t="inlineStr"/>
    </row>
    <row r="455">
      <c r="A455" s="2" t="inlineStr">
        <is>
          <t>Samsung</t>
        </is>
      </c>
      <c r="B455" s="2" t="inlineStr">
        <is>
          <t>M1EH</t>
        </is>
      </c>
      <c r="C455" s="2" t="inlineStr">
        <is>
          <t>2026 M1EH 55 inch 4K Mini LED Samsung Vision AI TV</t>
        </is>
      </c>
      <c r="D455" s="2" t="inlineStr">
        <is>
          <t>UE55M1EHAUXXU, UE55M1EHAUXXN, TU55M1EHBUXNA, GU55M1EHAUXZG, UE55M1EHAUXZT</t>
        </is>
      </c>
      <c r="E455" s="3" t="n">
        <v>55</v>
      </c>
      <c r="F455" s="3" t="n">
        <v>2026</v>
      </c>
      <c r="G455" s="4" t="n">
        <v>70.8</v>
      </c>
      <c r="H455" s="3" t="n">
        <v>200</v>
      </c>
      <c r="I455" s="3" t="n">
        <v>200</v>
      </c>
      <c r="J455" s="4" t="n"/>
      <c r="K455" s="4">
        <f>IF(ISNUMBER(J455),J455+I455/10,"")</f>
        <v/>
      </c>
      <c r="L455" s="2" t="inlineStr">
        <is>
          <t>estimat</t>
        </is>
      </c>
      <c r="M455" s="2" t="inlineStr"/>
      <c r="N455" s="2" t="inlineStr"/>
    </row>
    <row r="456">
      <c r="A456" s="2" t="inlineStr">
        <is>
          <t>Samsung</t>
        </is>
      </c>
      <c r="B456" s="2" t="inlineStr">
        <is>
          <t>M1EH</t>
        </is>
      </c>
      <c r="C456" s="2" t="inlineStr">
        <is>
          <t>2026 M1EH 50 inch 4K Mini LED Samsung Vision AI TV</t>
        </is>
      </c>
      <c r="D456" s="2" t="inlineStr">
        <is>
          <t>UE50M1EHAUXXU, UE50M1EHAUXXN, TU50M1EHBUXNA, GU50M1EHAUXZG, UE50M1EHAUXZT</t>
        </is>
      </c>
      <c r="E456" s="3" t="n">
        <v>50</v>
      </c>
      <c r="F456" s="3" t="n">
        <v>2026</v>
      </c>
      <c r="G456" s="4" t="n">
        <v>64.40000000000001</v>
      </c>
      <c r="H456" s="3" t="n">
        <v>200</v>
      </c>
      <c r="I456" s="3" t="n">
        <v>200</v>
      </c>
      <c r="J456" s="4" t="n"/>
      <c r="K456" s="4">
        <f>IF(ISNUMBER(J456),J456+I456/10,"")</f>
        <v/>
      </c>
      <c r="L456" s="2" t="inlineStr">
        <is>
          <t>estimat</t>
        </is>
      </c>
      <c r="M456" s="2" t="inlineStr"/>
      <c r="N456" s="2" t="inlineStr"/>
    </row>
    <row r="457">
      <c r="A457" s="2" t="inlineStr">
        <is>
          <t>Samsung</t>
        </is>
      </c>
      <c r="B457" s="2" t="inlineStr">
        <is>
          <t>M1EH</t>
        </is>
      </c>
      <c r="C457" s="2" t="inlineStr">
        <is>
          <t>43" Mini LED M1EH 4K Vision AI Smart TV (2026) UE43M1EHAUXXU</t>
        </is>
      </c>
      <c r="D457" s="2" t="inlineStr">
        <is>
          <t>UE43M1EHAUXXU, UE43M1EHAUXXN, TU43M1EHBUXNA, GU43M1EHAUXZG, UE43M1EHAUXZT</t>
        </is>
      </c>
      <c r="E457" s="3" t="n">
        <v>43</v>
      </c>
      <c r="F457" s="3" t="n">
        <v>2026</v>
      </c>
      <c r="G457" s="4" t="n">
        <v>55.9</v>
      </c>
      <c r="H457" s="3" t="n">
        <v>200</v>
      </c>
      <c r="I457" s="3" t="n">
        <v>200</v>
      </c>
      <c r="J457" s="4" t="n"/>
      <c r="K457" s="4">
        <f>IF(ISNUMBER(J457),J457+I457/10,"")</f>
        <v/>
      </c>
      <c r="L457" s="2" t="inlineStr">
        <is>
          <t>estimat</t>
        </is>
      </c>
      <c r="M457" s="2" t="inlineStr"/>
      <c r="N457" s="2" t="inlineStr"/>
    </row>
    <row r="458">
      <c r="A458" s="2" t="inlineStr">
        <is>
          <t>Samsung</t>
        </is>
      </c>
      <c r="B458" s="2" t="inlineStr">
        <is>
          <t>M70H</t>
        </is>
      </c>
      <c r="C458" s="2" t="inlineStr">
        <is>
          <t>2026 M72H 85 inch 4K Mini LED Samsung Vision AI TV</t>
        </is>
      </c>
      <c r="D458" s="2" t="inlineStr">
        <is>
          <t>UE85M70HAKXXU, UE85M72HAKXXU, UE85M72HAUXXN, UE85M70HAUXXN, TU85M72HBUXNA, GU85M70HAUXZG, TU85M70HAUXXC, UE85M72HAUXZT, UE85M70HAUXZT</t>
        </is>
      </c>
      <c r="E458" s="3" t="n">
        <v>85</v>
      </c>
      <c r="F458" s="3" t="n">
        <v>2026</v>
      </c>
      <c r="G458" s="4" t="n">
        <v>108.3</v>
      </c>
      <c r="H458" s="3" t="n">
        <v>400</v>
      </c>
      <c r="I458" s="3" t="n">
        <v>300</v>
      </c>
      <c r="J458" s="4" t="n">
        <v>19.8</v>
      </c>
      <c r="K458" s="4">
        <f>IF(ISNUMBER(J458),J458+I458/10,"")</f>
        <v/>
      </c>
      <c r="L458" s="2" t="inlineStr">
        <is>
          <t>3D-model</t>
        </is>
      </c>
      <c r="M458" s="2" t="inlineStr">
        <is>
          <t>Samsung</t>
        </is>
      </c>
      <c r="N458" s="2" t="inlineStr">
        <is>
          <t>Målt på Samsungs 3D-model af tv'et fra samsung.com: nederste VESA-hul 19,8 cm fra underkant. Metoden ramte 11 kendte mål med højst 1,2 cm afvigelse. Usikkerhed ca. ±1,5 cm.</t>
        </is>
      </c>
    </row>
    <row r="459">
      <c r="A459" s="2" t="inlineStr">
        <is>
          <t>Samsung</t>
        </is>
      </c>
      <c r="B459" s="2" t="inlineStr">
        <is>
          <t>M70H</t>
        </is>
      </c>
      <c r="C459" s="2" t="inlineStr">
        <is>
          <t>2026 M72H 75 inch 4K Mini LED Samsung Vision AI TV</t>
        </is>
      </c>
      <c r="D459" s="2" t="inlineStr">
        <is>
          <t>UE75M70HAKXXU, UE75M72HAKXXU, UE75M72HAUXXN, UE75M70HAUXXN, TU75M72HBUXNA, GU75M70HAUXZG, TU75M70HAUXXC, UE75M72HAUXZT, UE75M70HAUXZT, TU75M72HAUXXC</t>
        </is>
      </c>
      <c r="E459" s="3" t="n">
        <v>75</v>
      </c>
      <c r="F459" s="3" t="n">
        <v>2026</v>
      </c>
      <c r="G459" s="4" t="n">
        <v>95.8</v>
      </c>
      <c r="H459" s="3" t="n">
        <v>400</v>
      </c>
      <c r="I459" s="3" t="n">
        <v>300</v>
      </c>
      <c r="J459" s="4" t="n">
        <v>19.8</v>
      </c>
      <c r="K459" s="4">
        <f>IF(ISNUMBER(J459),J459+I459/10,"")</f>
        <v/>
      </c>
      <c r="L459" s="2" t="inlineStr">
        <is>
          <t>3D-model</t>
        </is>
      </c>
      <c r="M459" s="2" t="inlineStr">
        <is>
          <t>Samsung</t>
        </is>
      </c>
      <c r="N459" s="2" t="inlineStr">
        <is>
          <t>Målt på Samsungs 3D-model af tv'et fra samsung.com: nederste VESA-hul 19,8 cm fra underkant. Metoden ramte 11 kendte mål med højst 1,2 cm afvigelse. Usikkerhed ca. ±1,5 cm.</t>
        </is>
      </c>
    </row>
    <row r="460">
      <c r="A460" s="2" t="inlineStr">
        <is>
          <t>Samsung</t>
        </is>
      </c>
      <c r="B460" s="2" t="inlineStr">
        <is>
          <t>M70H</t>
        </is>
      </c>
      <c r="C460" s="2" t="inlineStr">
        <is>
          <t>2026 M72H 65 inch 4K Mini LED Samsung Vision AI TV</t>
        </is>
      </c>
      <c r="D460" s="2" t="inlineStr">
        <is>
          <t>UE65M70HAKXXU, UE65M72HAKXXU, UE65M72HAUXXN, UE65M70HAUXXN, TU65M72HBUXNA, GU65M70HAUXZG, TU65M70HAUXXC, UE65M72HAUXZT, UE65M70HAUXZT, TU65M72HAUXXC</t>
        </is>
      </c>
      <c r="E460" s="3" t="n">
        <v>65</v>
      </c>
      <c r="F460" s="3" t="n">
        <v>2026</v>
      </c>
      <c r="G460" s="4" t="n">
        <v>83.09999999999999</v>
      </c>
      <c r="H460" s="3" t="n">
        <v>200</v>
      </c>
      <c r="I460" s="3" t="n">
        <v>200</v>
      </c>
      <c r="J460" s="4" t="n">
        <v>22.4</v>
      </c>
      <c r="K460" s="4">
        <f>IF(ISNUMBER(J460),J460+I460/10,"")</f>
        <v/>
      </c>
      <c r="L460" s="2" t="inlineStr">
        <is>
          <t>billedmålt</t>
        </is>
      </c>
      <c r="M460" s="2" t="inlineStr">
        <is>
          <t>Which?</t>
        </is>
      </c>
      <c r="N460" s="2" t="inlineStr">
        <is>
          <t>Billedmålt på Which?-foto (samsung-ue65m70hakxxu): nederste VESA-hul 22,4 cm fra underkant, målt ud fra VESA 200×200 som skala. Usikkerhed ca. ±1 cm.</t>
        </is>
      </c>
    </row>
    <row r="461">
      <c r="A461" s="2" t="inlineStr">
        <is>
          <t>Samsung</t>
        </is>
      </c>
      <c r="B461" s="2" t="inlineStr">
        <is>
          <t>M70H</t>
        </is>
      </c>
      <c r="C461" s="2" t="inlineStr">
        <is>
          <t>2026 M72H 55 inch 4K Mini LED Samsung Vision AI TV</t>
        </is>
      </c>
      <c r="D461" s="2" t="inlineStr">
        <is>
          <t>UE55M70HAKXXU, UE55M72HAKXXU, UE55M72HAUXXN, UE55M70HAUXXN, TU55M72HBUXNA, GU55M70HAUXZG, TU55M70HAUXXC, UE55M72HAUXZT, UE55M70HAUXZT, TU55M72HAUXXC</t>
        </is>
      </c>
      <c r="E461" s="3" t="n">
        <v>55</v>
      </c>
      <c r="F461" s="3" t="n">
        <v>2026</v>
      </c>
      <c r="G461" s="4" t="n">
        <v>70.8</v>
      </c>
      <c r="H461" s="3" t="n">
        <v>200</v>
      </c>
      <c r="I461" s="3" t="n">
        <v>200</v>
      </c>
      <c r="J461" s="4" t="n">
        <v>22.2</v>
      </c>
      <c r="K461" s="4">
        <f>IF(ISNUMBER(J461),J461+I461/10,"")</f>
        <v/>
      </c>
      <c r="L461" s="2" t="inlineStr">
        <is>
          <t>billedmålt</t>
        </is>
      </c>
      <c r="M461" s="2" t="inlineStr">
        <is>
          <t>Which?</t>
        </is>
      </c>
      <c r="N461" s="2" t="inlineStr">
        <is>
          <t>Billedmålt på Which?-foto (samsung-ue55m70hakxxu): nederste VESA-hul 22,2 cm fra underkant, målt ud fra VESA 200×200 som skala. Usikkerhed ca. ±1 cm.</t>
        </is>
      </c>
    </row>
    <row r="462">
      <c r="A462" s="2" t="inlineStr">
        <is>
          <t>Samsung</t>
        </is>
      </c>
      <c r="B462" s="2" t="inlineStr">
        <is>
          <t>M70H</t>
        </is>
      </c>
      <c r="C462" s="2" t="inlineStr">
        <is>
          <t>2026 M72H 50 inch 4K Mini LED Samsung Vision AI TV</t>
        </is>
      </c>
      <c r="D462" s="2" t="inlineStr">
        <is>
          <t>UE50M70HAKXXU, UE50M72HAKXXU, UE50M72HAUXXN, UE50M70HAUXXN, TU50M72HBUXNA, GU50M70HAUXZG, TU50M70HAUXXC, UE50M72HAUXZT, UE50M70HAUXZT, TU50M72HAUXXC</t>
        </is>
      </c>
      <c r="E462" s="3" t="n">
        <v>50</v>
      </c>
      <c r="F462" s="3" t="n">
        <v>2026</v>
      </c>
      <c r="G462" s="4" t="n">
        <v>64.40000000000001</v>
      </c>
      <c r="H462" s="3" t="n">
        <v>200</v>
      </c>
      <c r="I462" s="3" t="n">
        <v>200</v>
      </c>
      <c r="J462" s="4" t="n">
        <v>22.6</v>
      </c>
      <c r="K462" s="4">
        <f>IF(ISNUMBER(J462),J462+I462/10,"")</f>
        <v/>
      </c>
      <c r="L462" s="2" t="inlineStr">
        <is>
          <t>billedmålt</t>
        </is>
      </c>
      <c r="M462" s="2" t="inlineStr">
        <is>
          <t>Which?</t>
        </is>
      </c>
      <c r="N462" s="2" t="inlineStr">
        <is>
          <t>Billedmålt på Which?-foto (samsung-ue50m70hakxxu): nederste VESA-hul 22,6 cm fra underkant, målt ud fra VESA 200×200 som skala. Usikkerhed ca. ±1 cm.</t>
        </is>
      </c>
    </row>
    <row r="463">
      <c r="A463" s="2" t="inlineStr">
        <is>
          <t>Samsung</t>
        </is>
      </c>
      <c r="B463" s="2" t="inlineStr">
        <is>
          <t>M70H</t>
        </is>
      </c>
      <c r="C463" s="2" t="inlineStr">
        <is>
          <t>2026 M72H 43 inch 4K Mini LED Samsung Vision AI TV</t>
        </is>
      </c>
      <c r="D463" s="2" t="inlineStr">
        <is>
          <t>UE43M70HAKXXU, UE43M72HAKXXU, UE43M72HAUXXN, UE43M70HAUXXN, TU43M72HBUXNA, GU43M70HAUXZG, TU43M70HAUXXC, UE43M72HAUXZT, UE43M70HAUXZT, TU43M72HAUXXC</t>
        </is>
      </c>
      <c r="E463" s="3" t="n">
        <v>43</v>
      </c>
      <c r="F463" s="3" t="n">
        <v>2026</v>
      </c>
      <c r="G463" s="4" t="n">
        <v>55.9</v>
      </c>
      <c r="H463" s="3" t="n">
        <v>200</v>
      </c>
      <c r="I463" s="3" t="n">
        <v>200</v>
      </c>
      <c r="J463" s="4" t="n">
        <v>20.4</v>
      </c>
      <c r="K463" s="4">
        <f>IF(ISNUMBER(J463),J463+I463/10,"")</f>
        <v/>
      </c>
      <c r="L463" s="2" t="inlineStr">
        <is>
          <t>billedmålt</t>
        </is>
      </c>
      <c r="M463" s="2" t="inlineStr">
        <is>
          <t>Which?</t>
        </is>
      </c>
      <c r="N463" s="2" t="inlineStr">
        <is>
          <t>Billedmålt på Which?-foto (foto af UE43M70H): nederste VESA-hul 20,4 cm fra underkant, målt ud fra VESA 200×200 som skala. Usikkerhed ca. ±1 cm.</t>
        </is>
      </c>
    </row>
    <row r="464">
      <c r="A464" s="2" t="inlineStr">
        <is>
          <t>Samsung</t>
        </is>
      </c>
      <c r="B464" s="2" t="inlineStr">
        <is>
          <t>M71H</t>
        </is>
      </c>
      <c r="C464" s="2" t="inlineStr">
        <is>
          <t>65" Mini LED M71H 4K Samsung Vision AI Smart TV (2026)</t>
        </is>
      </c>
      <c r="D464" s="2" t="inlineStr">
        <is>
          <t>GU65M71HAUXZG</t>
        </is>
      </c>
      <c r="E464" s="3" t="n">
        <v>65</v>
      </c>
      <c r="F464" s="3" t="n">
        <v>2026</v>
      </c>
      <c r="G464" s="4" t="n">
        <v>83.09999999999999</v>
      </c>
      <c r="H464" s="3" t="n">
        <v>200</v>
      </c>
      <c r="I464" s="3" t="n">
        <v>200</v>
      </c>
      <c r="J464" s="4" t="n"/>
      <c r="K464" s="4">
        <f>IF(ISNUMBER(J464),J464+I464/10,"")</f>
        <v/>
      </c>
      <c r="L464" s="2" t="inlineStr">
        <is>
          <t>estimat</t>
        </is>
      </c>
      <c r="M464" s="2" t="inlineStr"/>
      <c r="N464" s="2" t="inlineStr"/>
    </row>
    <row r="465">
      <c r="A465" s="2" t="inlineStr">
        <is>
          <t>Samsung</t>
        </is>
      </c>
      <c r="B465" s="2" t="inlineStr">
        <is>
          <t>M71H</t>
        </is>
      </c>
      <c r="C465" s="2" t="inlineStr">
        <is>
          <t>55" Mini LED M71H 4K Samsung Vision AI Smart TV (2026)</t>
        </is>
      </c>
      <c r="D465" s="2" t="inlineStr">
        <is>
          <t>GU55M71HAUXZG</t>
        </is>
      </c>
      <c r="E465" s="3" t="n">
        <v>55</v>
      </c>
      <c r="F465" s="3" t="n">
        <v>2026</v>
      </c>
      <c r="G465" s="4" t="n">
        <v>70.8</v>
      </c>
      <c r="H465" s="3" t="n">
        <v>200</v>
      </c>
      <c r="I465" s="3" t="n">
        <v>200</v>
      </c>
      <c r="J465" s="4" t="n"/>
      <c r="K465" s="4">
        <f>IF(ISNUMBER(J465),J465+I465/10,"")</f>
        <v/>
      </c>
      <c r="L465" s="2" t="inlineStr">
        <is>
          <t>estimat</t>
        </is>
      </c>
      <c r="M465" s="2" t="inlineStr"/>
      <c r="N465" s="2" t="inlineStr"/>
    </row>
    <row r="466">
      <c r="A466" s="2" t="inlineStr">
        <is>
          <t>Samsung</t>
        </is>
      </c>
      <c r="B466" s="2" t="inlineStr">
        <is>
          <t>M71H</t>
        </is>
      </c>
      <c r="C466" s="2" t="inlineStr">
        <is>
          <t>50" Mini LED M71H 4K Samsung Vision AI Smart TV (2026)</t>
        </is>
      </c>
      <c r="D466" s="2" t="inlineStr">
        <is>
          <t>GU50M71HAUXZG</t>
        </is>
      </c>
      <c r="E466" s="3" t="n">
        <v>50</v>
      </c>
      <c r="F466" s="3" t="n">
        <v>2026</v>
      </c>
      <c r="G466" s="4" t="n">
        <v>64.40000000000001</v>
      </c>
      <c r="H466" s="3" t="n">
        <v>200</v>
      </c>
      <c r="I466" s="3" t="n">
        <v>200</v>
      </c>
      <c r="J466" s="4" t="n"/>
      <c r="K466" s="4">
        <f>IF(ISNUMBER(J466),J466+I466/10,"")</f>
        <v/>
      </c>
      <c r="L466" s="2" t="inlineStr">
        <is>
          <t>estimat</t>
        </is>
      </c>
      <c r="M466" s="2" t="inlineStr"/>
      <c r="N466" s="2" t="inlineStr"/>
    </row>
    <row r="467">
      <c r="A467" s="2" t="inlineStr">
        <is>
          <t>Samsung</t>
        </is>
      </c>
      <c r="B467" s="2" t="inlineStr">
        <is>
          <t>M71H</t>
        </is>
      </c>
      <c r="C467" s="2" t="inlineStr">
        <is>
          <t>43" Mini LED M71H 4K Samsung Vision AI Smart TV (2026)</t>
        </is>
      </c>
      <c r="D467" s="2" t="inlineStr">
        <is>
          <t>GU43M71HAUXZG</t>
        </is>
      </c>
      <c r="E467" s="3" t="n">
        <v>43</v>
      </c>
      <c r="F467" s="3" t="n">
        <v>2026</v>
      </c>
      <c r="G467" s="4" t="n">
        <v>55.9</v>
      </c>
      <c r="H467" s="3" t="n">
        <v>200</v>
      </c>
      <c r="I467" s="3" t="n">
        <v>200</v>
      </c>
      <c r="J467" s="4" t="n"/>
      <c r="K467" s="4">
        <f>IF(ISNUMBER(J467),J467+I467/10,"")</f>
        <v/>
      </c>
      <c r="L467" s="2" t="inlineStr">
        <is>
          <t>estimat</t>
        </is>
      </c>
      <c r="M467" s="2" t="inlineStr"/>
      <c r="N467" s="2" t="inlineStr"/>
    </row>
    <row r="468">
      <c r="A468" s="2" t="inlineStr">
        <is>
          <t>Samsung</t>
        </is>
      </c>
      <c r="B468" s="2" t="inlineStr">
        <is>
          <t>M73H</t>
        </is>
      </c>
      <c r="C468" s="2" t="inlineStr">
        <is>
          <t>65” Mini LED M73H 4K Vision AI Smart TV (2026)</t>
        </is>
      </c>
      <c r="D468" s="2" t="inlineStr">
        <is>
          <t>UE65M73HAUXXN, TU65M73HBUXNA, TU65M73HAUXXC</t>
        </is>
      </c>
      <c r="E468" s="3" t="n">
        <v>65</v>
      </c>
      <c r="F468" s="3" t="n">
        <v>2026</v>
      </c>
      <c r="G468" s="4" t="n">
        <v>83.09999999999999</v>
      </c>
      <c r="H468" s="3" t="n">
        <v>200</v>
      </c>
      <c r="I468" s="3" t="n">
        <v>200</v>
      </c>
      <c r="J468" s="4" t="n"/>
      <c r="K468" s="4">
        <f>IF(ISNUMBER(J468),J468+I468/10,"")</f>
        <v/>
      </c>
      <c r="L468" s="2" t="inlineStr">
        <is>
          <t>estimat</t>
        </is>
      </c>
      <c r="M468" s="2" t="inlineStr"/>
      <c r="N468" s="2" t="inlineStr"/>
    </row>
    <row r="469">
      <c r="A469" s="2" t="inlineStr">
        <is>
          <t>Samsung</t>
        </is>
      </c>
      <c r="B469" s="2" t="inlineStr">
        <is>
          <t>M73H</t>
        </is>
      </c>
      <c r="C469" s="2" t="inlineStr">
        <is>
          <t>55” Mini LED M73H 4K Vision AI Smart TV (2026)</t>
        </is>
      </c>
      <c r="D469" s="2" t="inlineStr">
        <is>
          <t>UE55M73HAUXXN, TU55M73HBUXNA, TU55M73HAUXXC</t>
        </is>
      </c>
      <c r="E469" s="3" t="n">
        <v>55</v>
      </c>
      <c r="F469" s="3" t="n">
        <v>2026</v>
      </c>
      <c r="G469" s="4" t="n">
        <v>70.8</v>
      </c>
      <c r="H469" s="3" t="n">
        <v>200</v>
      </c>
      <c r="I469" s="3" t="n">
        <v>200</v>
      </c>
      <c r="J469" s="4" t="n"/>
      <c r="K469" s="4">
        <f>IF(ISNUMBER(J469),J469+I469/10,"")</f>
        <v/>
      </c>
      <c r="L469" s="2" t="inlineStr">
        <is>
          <t>estimat</t>
        </is>
      </c>
      <c r="M469" s="2" t="inlineStr"/>
      <c r="N469" s="2" t="inlineStr"/>
    </row>
    <row r="470">
      <c r="A470" s="2" t="inlineStr">
        <is>
          <t>Samsung</t>
        </is>
      </c>
      <c r="B470" s="2" t="inlineStr">
        <is>
          <t>M73H</t>
        </is>
      </c>
      <c r="C470" s="2" t="inlineStr">
        <is>
          <t>50” Mini LED M73H 4K Vision AI Smart TV (2026)</t>
        </is>
      </c>
      <c r="D470" s="2" t="inlineStr">
        <is>
          <t>UE50M73HAUXXN, TU50M73HBUXNA, TU50M73HAUXXC</t>
        </is>
      </c>
      <c r="E470" s="3" t="n">
        <v>50</v>
      </c>
      <c r="F470" s="3" t="n">
        <v>2026</v>
      </c>
      <c r="G470" s="4" t="n">
        <v>64.40000000000001</v>
      </c>
      <c r="H470" s="3" t="n">
        <v>200</v>
      </c>
      <c r="I470" s="3" t="n">
        <v>200</v>
      </c>
      <c r="J470" s="4" t="n"/>
      <c r="K470" s="4">
        <f>IF(ISNUMBER(J470),J470+I470/10,"")</f>
        <v/>
      </c>
      <c r="L470" s="2" t="inlineStr">
        <is>
          <t>estimat</t>
        </is>
      </c>
      <c r="M470" s="2" t="inlineStr"/>
      <c r="N470" s="2" t="inlineStr"/>
    </row>
    <row r="471">
      <c r="A471" s="2" t="inlineStr">
        <is>
          <t>Samsung</t>
        </is>
      </c>
      <c r="B471" s="2" t="inlineStr">
        <is>
          <t>M73H</t>
        </is>
      </c>
      <c r="C471" s="2" t="inlineStr">
        <is>
          <t>43” Mini LED M73H 4K Vision AI Smart TV (2026)</t>
        </is>
      </c>
      <c r="D471" s="2" t="inlineStr">
        <is>
          <t>UE43M73HAUXXN, TU43M73HBUXNA, TU43M73HAUXXC</t>
        </is>
      </c>
      <c r="E471" s="3" t="n">
        <v>43</v>
      </c>
      <c r="F471" s="3" t="n">
        <v>2026</v>
      </c>
      <c r="G471" s="4" t="n">
        <v>55.9</v>
      </c>
      <c r="H471" s="3" t="n">
        <v>200</v>
      </c>
      <c r="I471" s="3" t="n">
        <v>200</v>
      </c>
      <c r="J471" s="4" t="n"/>
      <c r="K471" s="4">
        <f>IF(ISNUMBER(J471),J471+I471/10,"")</f>
        <v/>
      </c>
      <c r="L471" s="2" t="inlineStr">
        <is>
          <t>estimat</t>
        </is>
      </c>
      <c r="M471" s="2" t="inlineStr"/>
      <c r="N471" s="2" t="inlineStr"/>
    </row>
    <row r="472">
      <c r="A472" s="2" t="inlineStr">
        <is>
          <t>Samsung</t>
        </is>
      </c>
      <c r="B472" s="2" t="inlineStr">
        <is>
          <t>M74H</t>
        </is>
      </c>
      <c r="C472" s="2" t="inlineStr">
        <is>
          <t>65" Mini LED M74H 4K Vision AI Smart TV (2026)</t>
        </is>
      </c>
      <c r="D472" s="2" t="inlineStr">
        <is>
          <t>UE65M74HAUXXN</t>
        </is>
      </c>
      <c r="E472" s="3" t="n">
        <v>65</v>
      </c>
      <c r="F472" s="3" t="n">
        <v>2026</v>
      </c>
      <c r="G472" s="4" t="n">
        <v>83.09999999999999</v>
      </c>
      <c r="H472" s="3" t="n">
        <v>200</v>
      </c>
      <c r="I472" s="3" t="n">
        <v>200</v>
      </c>
      <c r="J472" s="4" t="n"/>
      <c r="K472" s="4">
        <f>IF(ISNUMBER(J472),J472+I472/10,"")</f>
        <v/>
      </c>
      <c r="L472" s="2" t="inlineStr">
        <is>
          <t>estimat</t>
        </is>
      </c>
      <c r="M472" s="2" t="inlineStr"/>
      <c r="N472" s="2" t="inlineStr"/>
    </row>
    <row r="473">
      <c r="A473" s="2" t="inlineStr">
        <is>
          <t>Samsung</t>
        </is>
      </c>
      <c r="B473" s="2" t="inlineStr">
        <is>
          <t>M74H</t>
        </is>
      </c>
      <c r="C473" s="2" t="inlineStr">
        <is>
          <t>55” Mini LED M74H 4K Vision AI Smart TV (2026)</t>
        </is>
      </c>
      <c r="D473" s="2" t="inlineStr">
        <is>
          <t>UE55M74HAUXXN</t>
        </is>
      </c>
      <c r="E473" s="3" t="n">
        <v>55</v>
      </c>
      <c r="F473" s="3" t="n">
        <v>2026</v>
      </c>
      <c r="G473" s="4" t="n">
        <v>70.8</v>
      </c>
      <c r="H473" s="3" t="n">
        <v>200</v>
      </c>
      <c r="I473" s="3" t="n">
        <v>200</v>
      </c>
      <c r="J473" s="4" t="n"/>
      <c r="K473" s="4">
        <f>IF(ISNUMBER(J473),J473+I473/10,"")</f>
        <v/>
      </c>
      <c r="L473" s="2" t="inlineStr">
        <is>
          <t>estimat</t>
        </is>
      </c>
      <c r="M473" s="2" t="inlineStr"/>
      <c r="N473" s="2" t="inlineStr"/>
    </row>
    <row r="474">
      <c r="A474" s="2" t="inlineStr">
        <is>
          <t>Samsung</t>
        </is>
      </c>
      <c r="B474" s="2" t="inlineStr">
        <is>
          <t>M74H</t>
        </is>
      </c>
      <c r="C474" s="2" t="inlineStr">
        <is>
          <t>50" Mini LED M74H 4K Vision AI Smart TV (2026)</t>
        </is>
      </c>
      <c r="D474" s="2" t="inlineStr">
        <is>
          <t>UE50M74HAUXXN</t>
        </is>
      </c>
      <c r="E474" s="3" t="n">
        <v>50</v>
      </c>
      <c r="F474" s="3" t="n">
        <v>2026</v>
      </c>
      <c r="G474" s="4" t="n">
        <v>64.40000000000001</v>
      </c>
      <c r="H474" s="3" t="n">
        <v>200</v>
      </c>
      <c r="I474" s="3" t="n">
        <v>200</v>
      </c>
      <c r="J474" s="4" t="n"/>
      <c r="K474" s="4">
        <f>IF(ISNUMBER(J474),J474+I474/10,"")</f>
        <v/>
      </c>
      <c r="L474" s="2" t="inlineStr">
        <is>
          <t>estimat</t>
        </is>
      </c>
      <c r="M474" s="2" t="inlineStr"/>
      <c r="N474" s="2" t="inlineStr"/>
    </row>
    <row r="475">
      <c r="A475" s="2" t="inlineStr">
        <is>
          <t>Samsung</t>
        </is>
      </c>
      <c r="B475" s="2" t="inlineStr">
        <is>
          <t>M74H</t>
        </is>
      </c>
      <c r="C475" s="2" t="inlineStr">
        <is>
          <t>43" Mini LED M74H 4K Vision AI Smart TV (2026)</t>
        </is>
      </c>
      <c r="D475" s="2" t="inlineStr">
        <is>
          <t>UE43M74HAUXXN</t>
        </is>
      </c>
      <c r="E475" s="3" t="n">
        <v>43</v>
      </c>
      <c r="F475" s="3" t="n">
        <v>2026</v>
      </c>
      <c r="G475" s="4" t="n">
        <v>55.9</v>
      </c>
      <c r="H475" s="3" t="n">
        <v>200</v>
      </c>
      <c r="I475" s="3" t="n">
        <v>200</v>
      </c>
      <c r="J475" s="4" t="n"/>
      <c r="K475" s="4">
        <f>IF(ISNUMBER(J475),J475+I475/10,"")</f>
        <v/>
      </c>
      <c r="L475" s="2" t="inlineStr">
        <is>
          <t>estimat</t>
        </is>
      </c>
      <c r="M475" s="2" t="inlineStr"/>
      <c r="N475" s="2" t="inlineStr"/>
    </row>
    <row r="476">
      <c r="A476" s="2" t="inlineStr">
        <is>
          <t>Samsung</t>
        </is>
      </c>
      <c r="B476" s="2" t="inlineStr">
        <is>
          <t>M80H</t>
        </is>
      </c>
      <c r="C476" s="2" t="inlineStr">
        <is>
          <t>2026 M80H 85 inch 4K Mini LED Samsung Vision AI TV</t>
        </is>
      </c>
      <c r="D476" s="2" t="inlineStr">
        <is>
          <t>UE85M80HAUXXU, UE85M80HAUXXN, TU85M80HAUXXC, GU85M80HAUXZG, UE85M80HAUXZT</t>
        </is>
      </c>
      <c r="E476" s="3" t="n">
        <v>85</v>
      </c>
      <c r="F476" s="3" t="n">
        <v>2026</v>
      </c>
      <c r="G476" s="4" t="n">
        <v>108.3</v>
      </c>
      <c r="H476" s="3" t="n">
        <v>400</v>
      </c>
      <c r="I476" s="3" t="n">
        <v>300</v>
      </c>
      <c r="J476" s="4" t="n">
        <v>19.8</v>
      </c>
      <c r="K476" s="4">
        <f>IF(ISNUMBER(J476),J476+I476/10,"")</f>
        <v/>
      </c>
      <c r="L476" s="2" t="inlineStr">
        <is>
          <t>3D-model</t>
        </is>
      </c>
      <c r="M476" s="2" t="inlineStr">
        <is>
          <t>Samsung</t>
        </is>
      </c>
      <c r="N476" s="2" t="inlineStr">
        <is>
          <t>Målt på Samsungs 3D-model af tv'et fra samsung.com: nederste VESA-hul 19,8 cm fra underkant. Metoden ramte 11 kendte mål med højst 1,2 cm afvigelse. Usikkerhed ca. ±1,5 cm.</t>
        </is>
      </c>
    </row>
    <row r="477">
      <c r="A477" s="2" t="inlineStr">
        <is>
          <t>Samsung</t>
        </is>
      </c>
      <c r="B477" s="2" t="inlineStr">
        <is>
          <t>M80H</t>
        </is>
      </c>
      <c r="C477" s="2" t="inlineStr">
        <is>
          <t>2026 M80H 75 inch 4K Mini LED Samsung Vision AI TV</t>
        </is>
      </c>
      <c r="D477" s="2" t="inlineStr">
        <is>
          <t>UE75M80HAUXXU, UE75M80HAUXXN, TU75M80HAUXXC, GU75M80HAUXZG, UE75M80HAUXZT</t>
        </is>
      </c>
      <c r="E477" s="3" t="n">
        <v>75</v>
      </c>
      <c r="F477" s="3" t="n">
        <v>2026</v>
      </c>
      <c r="G477" s="4" t="n">
        <v>95.8</v>
      </c>
      <c r="H477" s="3" t="n">
        <v>400</v>
      </c>
      <c r="I477" s="3" t="n">
        <v>300</v>
      </c>
      <c r="J477" s="4" t="n">
        <v>19.9</v>
      </c>
      <c r="K477" s="4">
        <f>IF(ISNUMBER(J477),J477+I477/10,"")</f>
        <v/>
      </c>
      <c r="L477" s="2" t="inlineStr">
        <is>
          <t>3D-model</t>
        </is>
      </c>
      <c r="M477" s="2" t="inlineStr">
        <is>
          <t>Samsung</t>
        </is>
      </c>
      <c r="N477" s="2" t="inlineStr">
        <is>
          <t>Målt på Samsungs 3D-model af tv'et fra samsung.com: nederste VESA-hul 19,9 cm fra underkant. Metoden ramte 11 kendte mål med højst 1,2 cm afvigelse. Usikkerhed ca. ±1,5 cm.</t>
        </is>
      </c>
    </row>
    <row r="478">
      <c r="A478" s="2" t="inlineStr">
        <is>
          <t>Samsung</t>
        </is>
      </c>
      <c r="B478" s="2" t="inlineStr">
        <is>
          <t>M80H</t>
        </is>
      </c>
      <c r="C478" s="2" t="inlineStr">
        <is>
          <t>2026 M80H 65 inch 4K Mini LED Samsung Vision AI TV</t>
        </is>
      </c>
      <c r="D478" s="2" t="inlineStr">
        <is>
          <t>UE65M80HAUXXU, UE65M80HAUXXN, TU65M80HAUXXC, GU65M80HAUXZG, UE65M80HAUXZT</t>
        </is>
      </c>
      <c r="E478" s="3" t="n">
        <v>65</v>
      </c>
      <c r="F478" s="3" t="n">
        <v>2026</v>
      </c>
      <c r="G478" s="4" t="n">
        <v>83.09999999999999</v>
      </c>
      <c r="H478" s="3" t="n">
        <v>200</v>
      </c>
      <c r="I478" s="3" t="n">
        <v>200</v>
      </c>
      <c r="J478" s="4" t="n">
        <v>22.5</v>
      </c>
      <c r="K478" s="4">
        <f>IF(ISNUMBER(J478),J478+I478/10,"")</f>
        <v/>
      </c>
      <c r="L478" s="2" t="inlineStr">
        <is>
          <t>billedmålt</t>
        </is>
      </c>
      <c r="M478" s="2" t="inlineStr">
        <is>
          <t>Which?</t>
        </is>
      </c>
      <c r="N478" s="2" t="inlineStr">
        <is>
          <t>Billedmålt på Which?-foto (samsung-ue65m80hauxxu): nederste VESA-hul 22,5 cm fra underkant, målt ud fra VESA 200×200 som skala. Usikkerhed ca. ±1 cm.</t>
        </is>
      </c>
    </row>
    <row r="479">
      <c r="A479" s="2" t="inlineStr">
        <is>
          <t>Samsung</t>
        </is>
      </c>
      <c r="B479" s="2" t="inlineStr">
        <is>
          <t>M80H</t>
        </is>
      </c>
      <c r="C479" s="2" t="inlineStr">
        <is>
          <t>2026 M80H 55 inch 4K Mini LED Samsung Vision AI TV</t>
        </is>
      </c>
      <c r="D479" s="2" t="inlineStr">
        <is>
          <t>UE55M80HAUXXU, UE55M80HAUXXN, TU55M80HAUXXC, GU55M80HAUXZG, UE55M80HAUXZT</t>
        </is>
      </c>
      <c r="E479" s="3" t="n">
        <v>55</v>
      </c>
      <c r="F479" s="3" t="n">
        <v>2026</v>
      </c>
      <c r="G479" s="4" t="n">
        <v>70.8</v>
      </c>
      <c r="H479" s="3" t="n">
        <v>200</v>
      </c>
      <c r="I479" s="3" t="n">
        <v>200</v>
      </c>
      <c r="J479" s="4" t="n">
        <v>22.5</v>
      </c>
      <c r="K479" s="4">
        <f>IF(ISNUMBER(J479),J479+I479/10,"")</f>
        <v/>
      </c>
      <c r="L479" s="2" t="inlineStr">
        <is>
          <t>billedmålt</t>
        </is>
      </c>
      <c r="M479" s="2" t="inlineStr">
        <is>
          <t>Which?</t>
        </is>
      </c>
      <c r="N479" s="2" t="inlineStr">
        <is>
          <t>Billedmålt på Which?-foto (samsung-ue55m80hauxxu): nederste VESA-hul 22,5 cm fra underkant, målt ud fra VESA 200×200 som skala. Usikkerhed ca. ±1 cm.</t>
        </is>
      </c>
    </row>
    <row r="480">
      <c r="A480" s="2" t="inlineStr">
        <is>
          <t>Samsung</t>
        </is>
      </c>
      <c r="B480" s="2" t="inlineStr">
        <is>
          <t>M82H</t>
        </is>
      </c>
      <c r="C480" s="2" t="inlineStr">
        <is>
          <t>65" Mini LED M82H 4K Vision AI Smart TV (2026)</t>
        </is>
      </c>
      <c r="D480" s="2" t="inlineStr">
        <is>
          <t>UE65M82HAUXXN, TU65M82HBUXNA, GU65M82HAUXZG</t>
        </is>
      </c>
      <c r="E480" s="3" t="n">
        <v>65</v>
      </c>
      <c r="F480" s="3" t="n">
        <v>2026</v>
      </c>
      <c r="G480" s="4" t="n">
        <v>83.09999999999999</v>
      </c>
      <c r="H480" s="3" t="n">
        <v>200</v>
      </c>
      <c r="I480" s="3" t="n">
        <v>200</v>
      </c>
      <c r="J480" s="4" t="n"/>
      <c r="K480" s="4">
        <f>IF(ISNUMBER(J480),J480+I480/10,"")</f>
        <v/>
      </c>
      <c r="L480" s="2" t="inlineStr">
        <is>
          <t>estimat</t>
        </is>
      </c>
      <c r="M480" s="2" t="inlineStr"/>
      <c r="N480" s="2" t="inlineStr"/>
    </row>
    <row r="481">
      <c r="A481" s="2" t="inlineStr">
        <is>
          <t>Samsung</t>
        </is>
      </c>
      <c r="B481" s="2" t="inlineStr">
        <is>
          <t>M82H</t>
        </is>
      </c>
      <c r="C481" s="2" t="inlineStr">
        <is>
          <t>55" Mini LED M82H 4K Vision AI Smart TV (2026)</t>
        </is>
      </c>
      <c r="D481" s="2" t="inlineStr">
        <is>
          <t>UE55M82HAUXXN, TU55M82HBUXNA, GU55M82HAUXZG</t>
        </is>
      </c>
      <c r="E481" s="3" t="n">
        <v>55</v>
      </c>
      <c r="F481" s="3" t="n">
        <v>2026</v>
      </c>
      <c r="G481" s="4" t="n">
        <v>70.8</v>
      </c>
      <c r="H481" s="3" t="n">
        <v>200</v>
      </c>
      <c r="I481" s="3" t="n">
        <v>200</v>
      </c>
      <c r="J481" s="4" t="n"/>
      <c r="K481" s="4">
        <f>IF(ISNUMBER(J481),J481+I481/10,"")</f>
        <v/>
      </c>
      <c r="L481" s="2" t="inlineStr">
        <is>
          <t>estimat</t>
        </is>
      </c>
      <c r="M481" s="2" t="inlineStr"/>
      <c r="N481" s="2" t="inlineStr"/>
    </row>
    <row r="482">
      <c r="A482" s="2" t="inlineStr">
        <is>
          <t>Samsung</t>
        </is>
      </c>
      <c r="B482" s="2" t="inlineStr">
        <is>
          <t>M83H</t>
        </is>
      </c>
      <c r="C482" s="2" t="inlineStr">
        <is>
          <t>65" Mini LED M83H 4K Vision AI Smart TV (2026)</t>
        </is>
      </c>
      <c r="D482" s="2" t="inlineStr">
        <is>
          <t>UE65M83HAUXXN, TU65M83HBUXNA, GU65M83HAUXZG</t>
        </is>
      </c>
      <c r="E482" s="3" t="n">
        <v>65</v>
      </c>
      <c r="F482" s="3" t="n">
        <v>2026</v>
      </c>
      <c r="G482" s="4" t="n">
        <v>83.09999999999999</v>
      </c>
      <c r="H482" s="3" t="n">
        <v>200</v>
      </c>
      <c r="I482" s="3" t="n">
        <v>200</v>
      </c>
      <c r="J482" s="4" t="n"/>
      <c r="K482" s="4">
        <f>IF(ISNUMBER(J482),J482+I482/10,"")</f>
        <v/>
      </c>
      <c r="L482" s="2" t="inlineStr">
        <is>
          <t>estimat</t>
        </is>
      </c>
      <c r="M482" s="2" t="inlineStr"/>
      <c r="N482" s="2" t="inlineStr"/>
    </row>
    <row r="483">
      <c r="A483" s="2" t="inlineStr">
        <is>
          <t>Samsung</t>
        </is>
      </c>
      <c r="B483" s="2" t="inlineStr">
        <is>
          <t>M83H</t>
        </is>
      </c>
      <c r="C483" s="2" t="inlineStr">
        <is>
          <t>55" Mini LED M83H 4K Vision AI Smart TV (2026)</t>
        </is>
      </c>
      <c r="D483" s="2" t="inlineStr">
        <is>
          <t>UE55M83HAUXXN, TU55M83HBUXNA, GU55M83HAUXZG</t>
        </is>
      </c>
      <c r="E483" s="3" t="n">
        <v>55</v>
      </c>
      <c r="F483" s="3" t="n">
        <v>2026</v>
      </c>
      <c r="G483" s="4" t="n">
        <v>70.8</v>
      </c>
      <c r="H483" s="3" t="n">
        <v>200</v>
      </c>
      <c r="I483" s="3" t="n">
        <v>200</v>
      </c>
      <c r="J483" s="4" t="n"/>
      <c r="K483" s="4">
        <f>IF(ISNUMBER(J483),J483+I483/10,"")</f>
        <v/>
      </c>
      <c r="L483" s="2" t="inlineStr">
        <is>
          <t>estimat</t>
        </is>
      </c>
      <c r="M483" s="2" t="inlineStr"/>
      <c r="N483" s="2" t="inlineStr"/>
    </row>
    <row r="484">
      <c r="A484" s="2" t="inlineStr">
        <is>
          <t>Samsung</t>
        </is>
      </c>
      <c r="B484" s="2" t="inlineStr">
        <is>
          <t>M84H</t>
        </is>
      </c>
      <c r="C484" s="2" t="inlineStr">
        <is>
          <t>65" Mini LED M84H 4K Samsung Vision AI Smart TV 2026</t>
        </is>
      </c>
      <c r="D484" s="2" t="inlineStr">
        <is>
          <t>TU65M84HBUXNA, GU65M84HAUXZG</t>
        </is>
      </c>
      <c r="E484" s="3" t="n">
        <v>65</v>
      </c>
      <c r="F484" s="3" t="n">
        <v>2026</v>
      </c>
      <c r="G484" s="4" t="n">
        <v>83.09999999999999</v>
      </c>
      <c r="H484" s="3" t="n">
        <v>200</v>
      </c>
      <c r="I484" s="3" t="n">
        <v>200</v>
      </c>
      <c r="J484" s="4" t="n"/>
      <c r="K484" s="4">
        <f>IF(ISNUMBER(J484),J484+I484/10,"")</f>
        <v/>
      </c>
      <c r="L484" s="2" t="inlineStr">
        <is>
          <t>estimat</t>
        </is>
      </c>
      <c r="M484" s="2" t="inlineStr"/>
      <c r="N484" s="2" t="inlineStr"/>
    </row>
    <row r="485">
      <c r="A485" s="2" t="inlineStr">
        <is>
          <t>Samsung</t>
        </is>
      </c>
      <c r="B485" s="2" t="inlineStr">
        <is>
          <t>M84H</t>
        </is>
      </c>
      <c r="C485" s="2" t="inlineStr">
        <is>
          <t>55" Mini LED M84H 4K Samsung Vision AI Smart TV 2026</t>
        </is>
      </c>
      <c r="D485" s="2" t="inlineStr">
        <is>
          <t>TU55M84HBUXNA, GU55M84HAUXZG</t>
        </is>
      </c>
      <c r="E485" s="3" t="n">
        <v>55</v>
      </c>
      <c r="F485" s="3" t="n">
        <v>2026</v>
      </c>
      <c r="G485" s="4" t="n">
        <v>70.8</v>
      </c>
      <c r="H485" s="3" t="n">
        <v>200</v>
      </c>
      <c r="I485" s="3" t="n">
        <v>200</v>
      </c>
      <c r="J485" s="4" t="n"/>
      <c r="K485" s="4">
        <f>IF(ISNUMBER(J485),J485+I485/10,"")</f>
        <v/>
      </c>
      <c r="L485" s="2" t="inlineStr">
        <is>
          <t>estimat</t>
        </is>
      </c>
      <c r="M485" s="2" t="inlineStr"/>
      <c r="N485" s="2" t="inlineStr"/>
    </row>
    <row r="486">
      <c r="A486" s="2" t="inlineStr">
        <is>
          <t>Samsung</t>
        </is>
      </c>
      <c r="B486" s="2" t="inlineStr">
        <is>
          <t>Q50A</t>
        </is>
      </c>
      <c r="C486" s="2" t="inlineStr">
        <is>
          <t>Samsung 2023 32 Inch QLED Smart TV Q50A</t>
        </is>
      </c>
      <c r="D486" s="2" t="inlineStr">
        <is>
          <t>QE32Q50AEUXXU, QE32Q50AAUXXN, QE32Q50AEUXXN, TQ32Q50AEUXXC, QE32Q50AEUXZT</t>
        </is>
      </c>
      <c r="E486" s="3" t="n">
        <v>32</v>
      </c>
      <c r="F486" s="3" t="n">
        <v>2023</v>
      </c>
      <c r="G486" s="4" t="n">
        <v>42.7</v>
      </c>
      <c r="H486" s="3" t="n">
        <v>100</v>
      </c>
      <c r="I486" s="3" t="n">
        <v>100</v>
      </c>
      <c r="J486" s="4" t="n"/>
      <c r="K486" s="4">
        <f>IF(ISNUMBER(J486),J486+I486/10,"")</f>
        <v/>
      </c>
      <c r="L486" s="2" t="inlineStr">
        <is>
          <t>estimat</t>
        </is>
      </c>
      <c r="M486" s="2" t="inlineStr"/>
      <c r="N486" s="2" t="inlineStr"/>
    </row>
    <row r="487">
      <c r="A487" s="2" t="inlineStr">
        <is>
          <t>Samsung</t>
        </is>
      </c>
      <c r="B487" s="2" t="inlineStr">
        <is>
          <t>Q5F</t>
        </is>
      </c>
      <c r="C487" s="2" t="inlineStr">
        <is>
          <t>40" QLED Q5F Full HD Smart TV (2025) QE40Q5FAAUXXU</t>
        </is>
      </c>
      <c r="D487" s="2" t="inlineStr">
        <is>
          <t>QE40Q5FAAUXXU, GQ40Q5FAAUXZG, QE40Q5FAAUXZT</t>
        </is>
      </c>
      <c r="E487" s="3" t="n">
        <v>40</v>
      </c>
      <c r="F487" s="3" t="n">
        <v>2025</v>
      </c>
      <c r="G487" s="4" t="n">
        <v>51.9</v>
      </c>
      <c r="H487" s="3" t="n">
        <v>200</v>
      </c>
      <c r="I487" s="3" t="n">
        <v>200</v>
      </c>
      <c r="J487" s="4" t="n">
        <v>14.1</v>
      </c>
      <c r="K487" s="4">
        <f>IF(ISNUMBER(J487),J487+I487/10,"")</f>
        <v/>
      </c>
      <c r="L487" s="2" t="inlineStr">
        <is>
          <t>3D-model</t>
        </is>
      </c>
      <c r="M487" s="2" t="inlineStr">
        <is>
          <t>Samsung</t>
        </is>
      </c>
      <c r="N487" s="2" t="inlineStr">
        <is>
          <t>Målt på Samsungs 3D-model af tv'et fra samsung.com: nederste VESA-hul 14,1 cm fra underkant. Metoden ramte 11 kendte mål med højst 1,2 cm afvigelse. Usikkerhed ca. ±1,5 cm.</t>
        </is>
      </c>
    </row>
    <row r="488">
      <c r="A488" s="2" t="inlineStr">
        <is>
          <t>Samsung</t>
        </is>
      </c>
      <c r="B488" s="2" t="inlineStr">
        <is>
          <t>Q5F</t>
        </is>
      </c>
      <c r="C488" s="2" t="inlineStr">
        <is>
          <t>2026 Q5F 32 inch Full HD Real QLED Samsung Smart TV</t>
        </is>
      </c>
      <c r="D488" s="2" t="inlineStr">
        <is>
          <t>QE32Q5FAAUXXU, TQ32Q5FAAUXXC, GQ32Q5FAAUXZG, QE32Q5FAAUXZT, TQ32Q5FAAUXSP</t>
        </is>
      </c>
      <c r="E488" s="3" t="n">
        <v>32</v>
      </c>
      <c r="F488" s="3" t="n">
        <v>2026</v>
      </c>
      <c r="G488" s="4" t="n">
        <v>43.9</v>
      </c>
      <c r="H488" s="3" t="n">
        <v>200</v>
      </c>
      <c r="I488" s="3" t="n">
        <v>200</v>
      </c>
      <c r="J488" s="4" t="n">
        <v>11.3</v>
      </c>
      <c r="K488" s="4">
        <f>IF(ISNUMBER(J488),J488+I488/10,"")</f>
        <v/>
      </c>
      <c r="L488" s="2" t="inlineStr">
        <is>
          <t>3D-model</t>
        </is>
      </c>
      <c r="M488" s="2" t="inlineStr">
        <is>
          <t>Samsung</t>
        </is>
      </c>
      <c r="N488" s="2" t="inlineStr">
        <is>
          <t>Målt på Samsungs 3D-model af tv'et fra samsung.com: nederste VESA-hul 11,3 cm fra underkant. Metoden ramte 11 kendte mål med højst 1,2 cm afvigelse. Usikkerhed ca. ±1,5 cm.</t>
        </is>
      </c>
    </row>
    <row r="489">
      <c r="A489" s="2" t="inlineStr">
        <is>
          <t>Samsung</t>
        </is>
      </c>
      <c r="B489" s="2" t="inlineStr">
        <is>
          <t>Q60B</t>
        </is>
      </c>
      <c r="C489" s="2" t="inlineStr">
        <is>
          <t>Q60B (2022)</t>
        </is>
      </c>
      <c r="D489" s="2" t="inlineStr">
        <is>
          <t>QE55Q60BAUXXC, QE55Q60BAUXXU, QE55Q60B, QE55Q60BAUXZT</t>
        </is>
      </c>
      <c r="E489" s="3" t="n">
        <v>55</v>
      </c>
      <c r="F489" s="3" t="n">
        <v>2022</v>
      </c>
      <c r="G489" s="4" t="n">
        <v>70.59999999999999</v>
      </c>
      <c r="H489" s="3" t="n">
        <v>200</v>
      </c>
      <c r="I489" s="3" t="n">
        <v>200</v>
      </c>
      <c r="J489" s="4" t="n">
        <v>26.9</v>
      </c>
      <c r="K489" s="4">
        <f>IF(ISNUMBER(J489),J489+I489/10,"")</f>
        <v/>
      </c>
      <c r="L489" s="2" t="inlineStr">
        <is>
          <t>kundemålt</t>
        </is>
      </c>
      <c r="M489" s="2" t="inlineStr"/>
      <c r="N489" s="2" t="inlineStr">
        <is>
          <t>Kollegamålt 24/9-2026: VESA 200×200, nederste hul 26,9 cm fra underkant. Højden 70,6 cm er Samsungs specifikation, ikke målt.</t>
        </is>
      </c>
    </row>
    <row r="490">
      <c r="A490" s="2" t="inlineStr">
        <is>
          <t>Samsung</t>
        </is>
      </c>
      <c r="B490" s="2" t="inlineStr">
        <is>
          <t>Q60D</t>
        </is>
      </c>
      <c r="C490" s="2" t="inlineStr">
        <is>
          <t>Q60D 85 Inch 2024 Real QLED 4K TV</t>
        </is>
      </c>
      <c r="D490" s="2" t="inlineStr">
        <is>
          <t>QE85Q60DAUXXU, TQ85Q60DAUXXC, GQ85Q60DAUXZG</t>
        </is>
      </c>
      <c r="E490" s="3" t="n">
        <v>85</v>
      </c>
      <c r="F490" s="3" t="n">
        <v>2024</v>
      </c>
      <c r="G490" s="4" t="n">
        <v>108.6</v>
      </c>
      <c r="H490" s="3" t="n">
        <v>600</v>
      </c>
      <c r="I490" s="3" t="n">
        <v>400</v>
      </c>
      <c r="J490" s="4" t="n"/>
      <c r="K490" s="4">
        <f>IF(ISNUMBER(J490),J490+I490/10,"")</f>
        <v/>
      </c>
      <c r="L490" s="2" t="inlineStr">
        <is>
          <t>estimat</t>
        </is>
      </c>
      <c r="M490" s="2" t="inlineStr"/>
      <c r="N490" s="2" t="inlineStr"/>
    </row>
    <row r="491">
      <c r="A491" s="2" t="inlineStr">
        <is>
          <t>Samsung</t>
        </is>
      </c>
      <c r="B491" s="2" t="inlineStr">
        <is>
          <t>Q60D</t>
        </is>
      </c>
      <c r="C491" s="2" t="inlineStr">
        <is>
          <t>Q60D 75 Inch 2024 Real QLED 4K TV</t>
        </is>
      </c>
      <c r="D491" s="2" t="inlineStr">
        <is>
          <t>QE75Q60DAUXXU, TQ75Q60DAUXXC, GQ75Q60DAUXZG</t>
        </is>
      </c>
      <c r="E491" s="3" t="n">
        <v>75</v>
      </c>
      <c r="F491" s="3" t="n">
        <v>2024</v>
      </c>
      <c r="G491" s="4" t="n">
        <v>96</v>
      </c>
      <c r="H491" s="3" t="n">
        <v>400</v>
      </c>
      <c r="I491" s="3" t="n">
        <v>400</v>
      </c>
      <c r="J491" s="4" t="n"/>
      <c r="K491" s="4">
        <f>IF(ISNUMBER(J491),J491+I491/10,"")</f>
        <v/>
      </c>
      <c r="L491" s="2" t="inlineStr">
        <is>
          <t>estimat</t>
        </is>
      </c>
      <c r="M491" s="2" t="inlineStr"/>
      <c r="N491" s="2" t="inlineStr"/>
    </row>
    <row r="492">
      <c r="A492" s="2" t="inlineStr">
        <is>
          <t>Samsung</t>
        </is>
      </c>
      <c r="B492" s="2" t="inlineStr">
        <is>
          <t>Q60D</t>
        </is>
      </c>
      <c r="C492" s="2" t="inlineStr">
        <is>
          <t>Q60D 65 Inch 2024 Real QLED 4K TV</t>
        </is>
      </c>
      <c r="D492" s="2" t="inlineStr">
        <is>
          <t>QE65Q60DAUXXU, TQ65Q60DAUXXC, GQ65Q60DAUXZG</t>
        </is>
      </c>
      <c r="E492" s="3" t="n">
        <v>65</v>
      </c>
      <c r="F492" s="3" t="n">
        <v>2024</v>
      </c>
      <c r="G492" s="4" t="n">
        <v>83.09999999999999</v>
      </c>
      <c r="H492" s="3" t="n">
        <v>400</v>
      </c>
      <c r="I492" s="3" t="n">
        <v>300</v>
      </c>
      <c r="J492" s="4" t="n"/>
      <c r="K492" s="4">
        <f>IF(ISNUMBER(J492),J492+I492/10,"")</f>
        <v/>
      </c>
      <c r="L492" s="2" t="inlineStr">
        <is>
          <t>estimat</t>
        </is>
      </c>
      <c r="M492" s="2" t="inlineStr"/>
      <c r="N492" s="2" t="inlineStr"/>
    </row>
    <row r="493">
      <c r="A493" s="2" t="inlineStr">
        <is>
          <t>Samsung</t>
        </is>
      </c>
      <c r="B493" s="2" t="inlineStr">
        <is>
          <t>Q60D</t>
        </is>
      </c>
      <c r="C493" s="2" t="inlineStr">
        <is>
          <t>Q60D 55 Inch 2024 Real QLED 4K TV</t>
        </is>
      </c>
      <c r="D493" s="2" t="inlineStr">
        <is>
          <t>QE55Q60DAUXXU, TQ55Q60DAUXXC, GQ55Q60DAUXZG</t>
        </is>
      </c>
      <c r="E493" s="3" t="n">
        <v>55</v>
      </c>
      <c r="F493" s="3" t="n">
        <v>2024</v>
      </c>
      <c r="G493" s="4" t="n">
        <v>70.8</v>
      </c>
      <c r="H493" s="3" t="n">
        <v>200</v>
      </c>
      <c r="I493" s="3" t="n">
        <v>200</v>
      </c>
      <c r="J493" s="4" t="n"/>
      <c r="K493" s="4">
        <f>IF(ISNUMBER(J493),J493+I493/10,"")</f>
        <v/>
      </c>
      <c r="L493" s="2" t="inlineStr">
        <is>
          <t>estimat</t>
        </is>
      </c>
      <c r="M493" s="2" t="inlineStr"/>
      <c r="N493" s="2" t="inlineStr"/>
    </row>
    <row r="494">
      <c r="A494" s="2" t="inlineStr">
        <is>
          <t>Samsung</t>
        </is>
      </c>
      <c r="B494" s="2" t="inlineStr">
        <is>
          <t>Q60D</t>
        </is>
      </c>
      <c r="C494" s="2" t="inlineStr">
        <is>
          <t>Q60D 50 Inch 2024 Real QLED 4K TV</t>
        </is>
      </c>
      <c r="D494" s="2" t="inlineStr">
        <is>
          <t>QE50Q60DAUXXU, TQ50Q60DAUXXC, GQ50Q60DAUXZG</t>
        </is>
      </c>
      <c r="E494" s="3" t="n">
        <v>50</v>
      </c>
      <c r="F494" s="3" t="n">
        <v>2024</v>
      </c>
      <c r="G494" s="4" t="n">
        <v>64.40000000000001</v>
      </c>
      <c r="H494" s="3" t="n">
        <v>200</v>
      </c>
      <c r="I494" s="3" t="n">
        <v>200</v>
      </c>
      <c r="J494" s="4" t="n"/>
      <c r="K494" s="4">
        <f>IF(ISNUMBER(J494),J494+I494/10,"")</f>
        <v/>
      </c>
      <c r="L494" s="2" t="inlineStr">
        <is>
          <t>estimat</t>
        </is>
      </c>
      <c r="M494" s="2" t="inlineStr"/>
      <c r="N494" s="2" t="inlineStr"/>
    </row>
    <row r="495">
      <c r="A495" s="2" t="inlineStr">
        <is>
          <t>Samsung</t>
        </is>
      </c>
      <c r="B495" s="2" t="inlineStr">
        <is>
          <t>Q60D</t>
        </is>
      </c>
      <c r="C495" s="2" t="inlineStr">
        <is>
          <t>Q60D 43 Inch 2024 Real QLED 4K TV</t>
        </is>
      </c>
      <c r="D495" s="2" t="inlineStr">
        <is>
          <t>QE43Q60DAUXXU, TQ43Q60DAUXXC, GQ43Q60DAUXZG</t>
        </is>
      </c>
      <c r="E495" s="3" t="n">
        <v>43</v>
      </c>
      <c r="F495" s="3" t="n">
        <v>2024</v>
      </c>
      <c r="G495" s="4" t="n">
        <v>55.9</v>
      </c>
      <c r="H495" s="3" t="n">
        <v>200</v>
      </c>
      <c r="I495" s="3" t="n">
        <v>200</v>
      </c>
      <c r="J495" s="4" t="n"/>
      <c r="K495" s="4">
        <f>IF(ISNUMBER(J495),J495+I495/10,"")</f>
        <v/>
      </c>
      <c r="L495" s="2" t="inlineStr">
        <is>
          <t>estimat</t>
        </is>
      </c>
      <c r="M495" s="2" t="inlineStr"/>
      <c r="N495" s="2" t="inlineStr"/>
    </row>
    <row r="496">
      <c r="A496" s="2" t="inlineStr">
        <is>
          <t>Samsung</t>
        </is>
      </c>
      <c r="B496" s="2" t="inlineStr">
        <is>
          <t>Q64D</t>
        </is>
      </c>
      <c r="C496" s="2" t="inlineStr">
        <is>
          <t>Q64D (2024)</t>
        </is>
      </c>
      <c r="D496" s="2" t="inlineStr">
        <is>
          <t>TQ55Q64DAU, QE55Q64DAU, QE55Q64DAUXXN, TQ55Q64DAUXXC, GQ55Q64DAUXZG</t>
        </is>
      </c>
      <c r="E496" s="3" t="n">
        <v>55</v>
      </c>
      <c r="F496" s="3" t="n">
        <v>2024</v>
      </c>
      <c r="G496" s="4" t="n">
        <v>70</v>
      </c>
      <c r="H496" s="3" t="n">
        <v>200</v>
      </c>
      <c r="I496" s="3" t="n">
        <v>200</v>
      </c>
      <c r="J496" s="4" t="n">
        <v>27</v>
      </c>
      <c r="K496" s="4">
        <f>IF(ISNUMBER(J496),J496+I496/10,"")</f>
        <v/>
      </c>
      <c r="L496" s="2" t="inlineStr">
        <is>
          <t>kundemålt</t>
        </is>
      </c>
      <c r="M496" s="2" t="inlineStr"/>
      <c r="N496" s="2" t="inlineStr">
        <is>
          <t>Kundemålt 16/9-2026 (47 cm fra øverste hul til underkant, 23 cm fra overkant til øverste hul).</t>
        </is>
      </c>
    </row>
    <row r="497">
      <c r="A497" s="2" t="inlineStr">
        <is>
          <t>Samsung</t>
        </is>
      </c>
      <c r="B497" s="2" t="inlineStr">
        <is>
          <t>Q67D</t>
        </is>
      </c>
      <c r="C497" s="2" t="inlineStr">
        <is>
          <t>Q67D 75 Inch 2024 Real QLED 4K TV</t>
        </is>
      </c>
      <c r="D497" s="2" t="inlineStr">
        <is>
          <t>QE75Q67DAUXXU, QE75Q67DAUXXN, TQ75Q67DBUXXC, TQ75Q67DAUXXC</t>
        </is>
      </c>
      <c r="E497" s="3" t="n">
        <v>75</v>
      </c>
      <c r="F497" s="3" t="n">
        <v>2024</v>
      </c>
      <c r="G497" s="4" t="n">
        <v>96</v>
      </c>
      <c r="H497" s="3" t="n">
        <v>400</v>
      </c>
      <c r="I497" s="3" t="n">
        <v>400</v>
      </c>
      <c r="J497" s="4" t="n"/>
      <c r="K497" s="4">
        <f>IF(ISNUMBER(J497),J497+I497/10,"")</f>
        <v/>
      </c>
      <c r="L497" s="2" t="inlineStr">
        <is>
          <t>estimat</t>
        </is>
      </c>
      <c r="M497" s="2" t="inlineStr"/>
      <c r="N497" s="2" t="inlineStr"/>
    </row>
    <row r="498">
      <c r="A498" s="2" t="inlineStr">
        <is>
          <t>Samsung</t>
        </is>
      </c>
      <c r="B498" s="2" t="inlineStr">
        <is>
          <t>Q67D</t>
        </is>
      </c>
      <c r="C498" s="2" t="inlineStr">
        <is>
          <t>Q67D 65 Inch 2024 Real QLED 4K TV</t>
        </is>
      </c>
      <c r="D498" s="2" t="inlineStr">
        <is>
          <t>QE65Q67DAUXXU, QE65Q67DAUXXN, TQ65Q67DBUXXC, TQ65Q67DAUXXC</t>
        </is>
      </c>
      <c r="E498" s="3" t="n">
        <v>65</v>
      </c>
      <c r="F498" s="3" t="n">
        <v>2024</v>
      </c>
      <c r="G498" s="4" t="n">
        <v>83.09999999999999</v>
      </c>
      <c r="H498" s="3" t="n">
        <v>400</v>
      </c>
      <c r="I498" s="3" t="n">
        <v>300</v>
      </c>
      <c r="J498" s="4" t="n"/>
      <c r="K498" s="4">
        <f>IF(ISNUMBER(J498),J498+I498/10,"")</f>
        <v/>
      </c>
      <c r="L498" s="2" t="inlineStr">
        <is>
          <t>estimat</t>
        </is>
      </c>
      <c r="M498" s="2" t="inlineStr"/>
      <c r="N498" s="2" t="inlineStr"/>
    </row>
    <row r="499">
      <c r="A499" s="2" t="inlineStr">
        <is>
          <t>Samsung</t>
        </is>
      </c>
      <c r="B499" s="2" t="inlineStr">
        <is>
          <t>Q67D</t>
        </is>
      </c>
      <c r="C499" s="2" t="inlineStr">
        <is>
          <t>Q67D 55 Inch 2024 Real QLED 4K TV</t>
        </is>
      </c>
      <c r="D499" s="2" t="inlineStr">
        <is>
          <t>QE55Q67DAUXXU, QE55Q67DAUXXN, TQ55Q67DBUXXC, TQ55Q67DAUXXC</t>
        </is>
      </c>
      <c r="E499" s="3" t="n">
        <v>55</v>
      </c>
      <c r="F499" s="3" t="n">
        <v>2024</v>
      </c>
      <c r="G499" s="4" t="n">
        <v>70.8</v>
      </c>
      <c r="H499" s="3" t="n">
        <v>200</v>
      </c>
      <c r="I499" s="3" t="n">
        <v>200</v>
      </c>
      <c r="J499" s="4" t="n"/>
      <c r="K499" s="4">
        <f>IF(ISNUMBER(J499),J499+I499/10,"")</f>
        <v/>
      </c>
      <c r="L499" s="2" t="inlineStr">
        <is>
          <t>estimat</t>
        </is>
      </c>
      <c r="M499" s="2" t="inlineStr"/>
      <c r="N499" s="2" t="inlineStr"/>
    </row>
    <row r="500">
      <c r="A500" s="2" t="inlineStr">
        <is>
          <t>Samsung</t>
        </is>
      </c>
      <c r="B500" s="2" t="inlineStr">
        <is>
          <t>Q67D</t>
        </is>
      </c>
      <c r="C500" s="2" t="inlineStr">
        <is>
          <t>Q67D 50 Inch 2024 Real QLED 4K TV</t>
        </is>
      </c>
      <c r="D500" s="2" t="inlineStr">
        <is>
          <t>QE50Q67DAUXXU, QE50Q67DAUXXN, TQ50Q67DBUXXC, TQ50Q67DAUXXC</t>
        </is>
      </c>
      <c r="E500" s="3" t="n">
        <v>50</v>
      </c>
      <c r="F500" s="3" t="n">
        <v>2024</v>
      </c>
      <c r="G500" s="4" t="n">
        <v>64.40000000000001</v>
      </c>
      <c r="H500" s="3" t="n">
        <v>200</v>
      </c>
      <c r="I500" s="3" t="n">
        <v>200</v>
      </c>
      <c r="J500" s="4" t="n"/>
      <c r="K500" s="4">
        <f>IF(ISNUMBER(J500),J500+I500/10,"")</f>
        <v/>
      </c>
      <c r="L500" s="2" t="inlineStr">
        <is>
          <t>estimat</t>
        </is>
      </c>
      <c r="M500" s="2" t="inlineStr"/>
      <c r="N500" s="2" t="inlineStr"/>
    </row>
    <row r="501">
      <c r="A501" s="2" t="inlineStr">
        <is>
          <t>Samsung</t>
        </is>
      </c>
      <c r="B501" s="2" t="inlineStr">
        <is>
          <t>Q67D</t>
        </is>
      </c>
      <c r="C501" s="2" t="inlineStr">
        <is>
          <t>Q67D 43 Inch 2024 Real QLED 4K TV</t>
        </is>
      </c>
      <c r="D501" s="2" t="inlineStr">
        <is>
          <t>QE43Q67DAUXXU, QE43Q67DAUXXN, TQ43Q67DBUXXC, TQ43Q67DAUXXC</t>
        </is>
      </c>
      <c r="E501" s="3" t="n">
        <v>43</v>
      </c>
      <c r="F501" s="3" t="n">
        <v>2024</v>
      </c>
      <c r="G501" s="4" t="n">
        <v>55.9</v>
      </c>
      <c r="H501" s="3" t="n">
        <v>200</v>
      </c>
      <c r="I501" s="3" t="n">
        <v>200</v>
      </c>
      <c r="J501" s="4" t="n"/>
      <c r="K501" s="4">
        <f>IF(ISNUMBER(J501),J501+I501/10,"")</f>
        <v/>
      </c>
      <c r="L501" s="2" t="inlineStr">
        <is>
          <t>estimat</t>
        </is>
      </c>
      <c r="M501" s="2" t="inlineStr"/>
      <c r="N501" s="2" t="inlineStr"/>
    </row>
    <row r="502">
      <c r="A502" s="2" t="inlineStr">
        <is>
          <t>Samsung</t>
        </is>
      </c>
      <c r="B502" s="2" t="inlineStr">
        <is>
          <t>Q6F</t>
        </is>
      </c>
      <c r="C502" s="2" t="inlineStr">
        <is>
          <t>2025 Q6F 85 inch 4K Real QLED Smart TV</t>
        </is>
      </c>
      <c r="D502" s="2" t="inlineStr">
        <is>
          <t>QE85Q6FAAKXXU, TQ85Q6FAAUXXC, GQ85Q6FAAUXZG, QE85Q6FAAUXZT</t>
        </is>
      </c>
      <c r="E502" s="3" t="n">
        <v>85</v>
      </c>
      <c r="F502" s="3" t="n">
        <v>2025</v>
      </c>
      <c r="G502" s="4" t="n">
        <v>108.3</v>
      </c>
      <c r="H502" s="3" t="n">
        <v>400</v>
      </c>
      <c r="I502" s="3" t="n">
        <v>300</v>
      </c>
      <c r="J502" s="4" t="n">
        <v>19.8</v>
      </c>
      <c r="K502" s="4">
        <f>IF(ISNUMBER(J502),J502+I502/10,"")</f>
        <v/>
      </c>
      <c r="L502" s="2" t="inlineStr">
        <is>
          <t>3D-model</t>
        </is>
      </c>
      <c r="M502" s="2" t="inlineStr">
        <is>
          <t>Samsung</t>
        </is>
      </c>
      <c r="N502" s="2" t="inlineStr">
        <is>
          <t>Målt på Samsungs 3D-model af tv'et fra samsung.com: nederste VESA-hul 19,8 cm fra underkant. Metoden ramte 11 kendte mål med højst 1,2 cm afvigelse. Usikkerhed ca. ±1,5 cm.</t>
        </is>
      </c>
    </row>
    <row r="503">
      <c r="A503" s="2" t="inlineStr">
        <is>
          <t>Samsung</t>
        </is>
      </c>
      <c r="B503" s="2" t="inlineStr">
        <is>
          <t>Q6F</t>
        </is>
      </c>
      <c r="C503" s="2" t="inlineStr">
        <is>
          <t>2025 Q6F 75 inch 4K Real QLED Smart TV</t>
        </is>
      </c>
      <c r="D503" s="2" t="inlineStr">
        <is>
          <t>QE75Q6FAAKXXU, TQ75Q6FAAUXXC, GQ75Q6FAAUXZG, QE75Q6FAAUXZT</t>
        </is>
      </c>
      <c r="E503" s="3" t="n">
        <v>75</v>
      </c>
      <c r="F503" s="3" t="n">
        <v>2025</v>
      </c>
      <c r="G503" s="4" t="n">
        <v>95.8</v>
      </c>
      <c r="H503" s="3" t="n">
        <v>400</v>
      </c>
      <c r="I503" s="3" t="n">
        <v>300</v>
      </c>
      <c r="J503" s="4" t="n">
        <v>19.9</v>
      </c>
      <c r="K503" s="4">
        <f>IF(ISNUMBER(J503),J503+I503/10,"")</f>
        <v/>
      </c>
      <c r="L503" s="2" t="inlineStr">
        <is>
          <t>3D-model</t>
        </is>
      </c>
      <c r="M503" s="2" t="inlineStr">
        <is>
          <t>Samsung</t>
        </is>
      </c>
      <c r="N503" s="2" t="inlineStr">
        <is>
          <t>Målt på Samsungs 3D-model af tv'et fra samsung.com: nederste VESA-hul 19,9 cm fra underkant. Metoden ramte 11 kendte mål med højst 1,2 cm afvigelse. Usikkerhed ca. ±1,5 cm.</t>
        </is>
      </c>
    </row>
    <row r="504">
      <c r="A504" s="2" t="inlineStr">
        <is>
          <t>Samsung</t>
        </is>
      </c>
      <c r="B504" s="2" t="inlineStr">
        <is>
          <t>Q70C</t>
        </is>
      </c>
      <c r="C504" s="2" t="inlineStr">
        <is>
          <t>Samsung 2023 75 Inch QLED 4K Smart TV Q70C</t>
        </is>
      </c>
      <c r="D504" s="2" t="inlineStr">
        <is>
          <t>QE75Q70CATXXU, QE75Q70CATXXN, TQ75Q70CATXXC</t>
        </is>
      </c>
      <c r="E504" s="3" t="n">
        <v>75</v>
      </c>
      <c r="F504" s="3" t="n">
        <v>2023</v>
      </c>
      <c r="G504" s="4" t="n">
        <v>96</v>
      </c>
      <c r="H504" s="3" t="n">
        <v>400</v>
      </c>
      <c r="I504" s="3" t="n">
        <v>400</v>
      </c>
      <c r="J504" s="4" t="n"/>
      <c r="K504" s="4">
        <f>IF(ISNUMBER(J504),J504+I504/10,"")</f>
        <v/>
      </c>
      <c r="L504" s="2" t="inlineStr">
        <is>
          <t>estimat</t>
        </is>
      </c>
      <c r="M504" s="2" t="inlineStr"/>
      <c r="N504" s="2" t="inlineStr"/>
    </row>
    <row r="505">
      <c r="A505" s="2" t="inlineStr">
        <is>
          <t>Samsung</t>
        </is>
      </c>
      <c r="B505" s="2" t="inlineStr">
        <is>
          <t>Q70D</t>
        </is>
      </c>
      <c r="C505" s="2" t="inlineStr">
        <is>
          <t>Q70D 85 Inch 2024 Real QLED 4K TV</t>
        </is>
      </c>
      <c r="D505" s="2" t="inlineStr">
        <is>
          <t>QE85Q70DATXXU, QE85Q70DATXXN, TQ85Q70DATXXC, GQ85Q70DATXZG</t>
        </is>
      </c>
      <c r="E505" s="3" t="n">
        <v>85</v>
      </c>
      <c r="F505" s="3" t="n">
        <v>2024</v>
      </c>
      <c r="G505" s="4" t="n">
        <v>108.6</v>
      </c>
      <c r="H505" s="3" t="n">
        <v>600</v>
      </c>
      <c r="I505" s="3" t="n">
        <v>400</v>
      </c>
      <c r="J505" s="4" t="n"/>
      <c r="K505" s="4">
        <f>IF(ISNUMBER(J505),J505+I505/10,"")</f>
        <v/>
      </c>
      <c r="L505" s="2" t="inlineStr">
        <is>
          <t>estimat</t>
        </is>
      </c>
      <c r="M505" s="2" t="inlineStr"/>
      <c r="N505" s="2" t="inlineStr"/>
    </row>
    <row r="506">
      <c r="A506" s="2" t="inlineStr">
        <is>
          <t>Samsung</t>
        </is>
      </c>
      <c r="B506" s="2" t="inlineStr">
        <is>
          <t>Q70D</t>
        </is>
      </c>
      <c r="C506" s="2" t="inlineStr">
        <is>
          <t>Q70D 75 Inch 2024 Real QLED 4K TV</t>
        </is>
      </c>
      <c r="D506" s="2" t="inlineStr">
        <is>
          <t>QE75Q70DATXXU, QE75Q70DATXXN, TQ75Q70DATXXC, GQ75Q70DATXZG</t>
        </is>
      </c>
      <c r="E506" s="3" t="n">
        <v>75</v>
      </c>
      <c r="F506" s="3" t="n">
        <v>2024</v>
      </c>
      <c r="G506" s="4" t="n">
        <v>96</v>
      </c>
      <c r="H506" s="3" t="n">
        <v>400</v>
      </c>
      <c r="I506" s="3" t="n">
        <v>400</v>
      </c>
      <c r="J506" s="4" t="n"/>
      <c r="K506" s="4">
        <f>IF(ISNUMBER(J506),J506+I506/10,"")</f>
        <v/>
      </c>
      <c r="L506" s="2" t="inlineStr">
        <is>
          <t>estimat</t>
        </is>
      </c>
      <c r="M506" s="2" t="inlineStr"/>
      <c r="N506" s="2" t="inlineStr"/>
    </row>
    <row r="507">
      <c r="A507" s="2" t="inlineStr">
        <is>
          <t>Samsung</t>
        </is>
      </c>
      <c r="B507" s="2" t="inlineStr">
        <is>
          <t>Q70D</t>
        </is>
      </c>
      <c r="C507" s="2" t="inlineStr">
        <is>
          <t>Q70D 65 Inch 2024 Real QLED 4K TV</t>
        </is>
      </c>
      <c r="D507" s="2" t="inlineStr">
        <is>
          <t>QE65Q70DATXXU, QE65Q70DATXXN, TQ65Q70DATXXC, GQ65Q70DATXZG</t>
        </is>
      </c>
      <c r="E507" s="3" t="n">
        <v>65</v>
      </c>
      <c r="F507" s="3" t="n">
        <v>2024</v>
      </c>
      <c r="G507" s="4" t="n">
        <v>83.2</v>
      </c>
      <c r="H507" s="3" t="n">
        <v>400</v>
      </c>
      <c r="I507" s="3" t="n">
        <v>300</v>
      </c>
      <c r="J507" s="4" t="n"/>
      <c r="K507" s="4">
        <f>IF(ISNUMBER(J507),J507+I507/10,"")</f>
        <v/>
      </c>
      <c r="L507" s="2" t="inlineStr">
        <is>
          <t>estimat</t>
        </is>
      </c>
      <c r="M507" s="2" t="inlineStr"/>
      <c r="N507" s="2" t="inlineStr"/>
    </row>
    <row r="508">
      <c r="A508" s="2" t="inlineStr">
        <is>
          <t>Samsung</t>
        </is>
      </c>
      <c r="B508" s="2" t="inlineStr">
        <is>
          <t>Q70D</t>
        </is>
      </c>
      <c r="C508" s="2" t="inlineStr">
        <is>
          <t>Q70D 55 Inch 2024 Real QLED 4K TV</t>
        </is>
      </c>
      <c r="D508" s="2" t="inlineStr">
        <is>
          <t>QE55Q70DATXXU, QE55Q70DATXXN, TQ55Q70DATXXC, GQ55Q70DATXZG</t>
        </is>
      </c>
      <c r="E508" s="3" t="n">
        <v>55</v>
      </c>
      <c r="F508" s="3" t="n">
        <v>2024</v>
      </c>
      <c r="G508" s="4" t="n">
        <v>70.90000000000001</v>
      </c>
      <c r="H508" s="3" t="n">
        <v>200</v>
      </c>
      <c r="I508" s="3" t="n">
        <v>200</v>
      </c>
      <c r="J508" s="4" t="n"/>
      <c r="K508" s="4">
        <f>IF(ISNUMBER(J508),J508+I508/10,"")</f>
        <v/>
      </c>
      <c r="L508" s="2" t="inlineStr">
        <is>
          <t>estimat</t>
        </is>
      </c>
      <c r="M508" s="2" t="inlineStr"/>
      <c r="N508" s="2" t="inlineStr"/>
    </row>
    <row r="509">
      <c r="A509" s="2" t="inlineStr">
        <is>
          <t>Samsung</t>
        </is>
      </c>
      <c r="B509" s="2" t="inlineStr">
        <is>
          <t>Q75C</t>
        </is>
      </c>
      <c r="C509" s="2" t="inlineStr">
        <is>
          <t>Samsung 2023 65 Inch QLED 4K Smart TV Q75C</t>
        </is>
      </c>
      <c r="D509" s="2" t="inlineStr">
        <is>
          <t>QE65Q75CATXXU, QE65Q75CATXXN, TQ65Q75CATXXC</t>
        </is>
      </c>
      <c r="E509" s="3" t="n">
        <v>65</v>
      </c>
      <c r="F509" s="3" t="n">
        <v>2023</v>
      </c>
      <c r="G509" s="4" t="n">
        <v>83.2</v>
      </c>
      <c r="H509" s="3" t="n">
        <v>400</v>
      </c>
      <c r="I509" s="3" t="n">
        <v>300</v>
      </c>
      <c r="J509" s="4" t="n">
        <v>26.3</v>
      </c>
      <c r="K509" s="4">
        <f>IF(ISNUMBER(J509),J509+I509/10,"")</f>
        <v/>
      </c>
      <c r="L509" s="2" t="inlineStr">
        <is>
          <t>3D-model</t>
        </is>
      </c>
      <c r="M509" s="2" t="inlineStr">
        <is>
          <t>Samsung</t>
        </is>
      </c>
      <c r="N509" s="2" t="inlineStr">
        <is>
          <t>Målt på Samsungs 3D-model af tv'et fra samsung.com: nederste VESA-hul 26,3 cm fra underkant. Metoden ramte 11 kendte mål med højst 1,2 cm afvigelse. Usikkerhed ca. ±1,5 cm.</t>
        </is>
      </c>
    </row>
    <row r="510">
      <c r="A510" s="2" t="inlineStr">
        <is>
          <t>Samsung</t>
        </is>
      </c>
      <c r="B510" s="2" t="inlineStr">
        <is>
          <t>Q77D</t>
        </is>
      </c>
      <c r="C510" s="2" t="inlineStr">
        <is>
          <t>Q77D 75 Inch 2024 Real QLED 4K TV</t>
        </is>
      </c>
      <c r="D510" s="2" t="inlineStr">
        <is>
          <t>QE75Q77DATXXU, QE75Q77DATXXN, TQ75Q77DBTXXC, TQ75Q77DATXXC</t>
        </is>
      </c>
      <c r="E510" s="3" t="n">
        <v>75</v>
      </c>
      <c r="F510" s="3" t="n">
        <v>2024</v>
      </c>
      <c r="G510" s="4" t="n">
        <v>96</v>
      </c>
      <c r="H510" s="3" t="n">
        <v>400</v>
      </c>
      <c r="I510" s="3" t="n">
        <v>400</v>
      </c>
      <c r="J510" s="4" t="n"/>
      <c r="K510" s="4">
        <f>IF(ISNUMBER(J510),J510+I510/10,"")</f>
        <v/>
      </c>
      <c r="L510" s="2" t="inlineStr">
        <is>
          <t>estimat</t>
        </is>
      </c>
      <c r="M510" s="2" t="inlineStr"/>
      <c r="N510" s="2" t="inlineStr"/>
    </row>
    <row r="511">
      <c r="A511" s="2" t="inlineStr">
        <is>
          <t>Samsung</t>
        </is>
      </c>
      <c r="B511" s="2" t="inlineStr">
        <is>
          <t>Q77D</t>
        </is>
      </c>
      <c r="C511" s="2" t="inlineStr">
        <is>
          <t>Q77D 65 Inch 2024 Real QLED 4K TV</t>
        </is>
      </c>
      <c r="D511" s="2" t="inlineStr">
        <is>
          <t>QE65Q77DATXXU, QE65Q77DATXXN, TQ65Q77DBTXXC, TQ65Q77DATXXC</t>
        </is>
      </c>
      <c r="E511" s="3" t="n">
        <v>65</v>
      </c>
      <c r="F511" s="3" t="n">
        <v>2024</v>
      </c>
      <c r="G511" s="4" t="n">
        <v>83.2</v>
      </c>
      <c r="H511" s="3" t="n">
        <v>400</v>
      </c>
      <c r="I511" s="3" t="n">
        <v>300</v>
      </c>
      <c r="J511" s="4" t="n">
        <v>26.2</v>
      </c>
      <c r="K511" s="4">
        <f>IF(ISNUMBER(J511),J511+I511/10,"")</f>
        <v/>
      </c>
      <c r="L511" s="2" t="inlineStr">
        <is>
          <t>3D-model</t>
        </is>
      </c>
      <c r="M511" s="2" t="inlineStr">
        <is>
          <t>Samsung</t>
        </is>
      </c>
      <c r="N511" s="2" t="inlineStr">
        <is>
          <t>Målt på Samsungs 3D-model af tv'et fra samsung.com: nederste VESA-hul 26,2 cm fra underkant. Metoden ramte 11 kendte mål med højst 1,2 cm afvigelse. Usikkerhed ca. ±1,5 cm.</t>
        </is>
      </c>
    </row>
    <row r="512">
      <c r="A512" s="2" t="inlineStr">
        <is>
          <t>Samsung</t>
        </is>
      </c>
      <c r="B512" s="2" t="inlineStr">
        <is>
          <t>Q77D</t>
        </is>
      </c>
      <c r="C512" s="2" t="inlineStr">
        <is>
          <t>Q77D 55 Inch 2024 Real QLED 4K TV</t>
        </is>
      </c>
      <c r="D512" s="2" t="inlineStr">
        <is>
          <t>QE55Q77DATXXU, QE55Q77DATXXN, TQ55Q77DBTXXC, TQ55Q77DATXXC</t>
        </is>
      </c>
      <c r="E512" s="3" t="n">
        <v>55</v>
      </c>
      <c r="F512" s="3" t="n">
        <v>2024</v>
      </c>
      <c r="G512" s="4" t="n">
        <v>70.90000000000001</v>
      </c>
      <c r="H512" s="3" t="n">
        <v>200</v>
      </c>
      <c r="I512" s="3" t="n">
        <v>200</v>
      </c>
      <c r="J512" s="4" t="n">
        <v>26.6</v>
      </c>
      <c r="K512" s="4">
        <f>IF(ISNUMBER(J512),J512+I512/10,"")</f>
        <v/>
      </c>
      <c r="L512" s="2" t="inlineStr">
        <is>
          <t>3D-model</t>
        </is>
      </c>
      <c r="M512" s="2" t="inlineStr">
        <is>
          <t>Samsung</t>
        </is>
      </c>
      <c r="N512" s="2" t="inlineStr">
        <is>
          <t>Målt på Samsungs 3D-model af tv'et fra samsung.com: nederste VESA-hul 26,6 cm fra underkant. Metoden ramte 11 kendte mål med højst 1,2 cm afvigelse. Usikkerhed ca. ±1,5 cm.</t>
        </is>
      </c>
    </row>
    <row r="513">
      <c r="A513" s="2" t="inlineStr">
        <is>
          <t>Samsung</t>
        </is>
      </c>
      <c r="B513" s="2" t="inlineStr">
        <is>
          <t>Q7F</t>
        </is>
      </c>
      <c r="C513" s="2" t="inlineStr">
        <is>
          <t>2025 Q7F 98 inch 4K QLED Samsung Vision AI TV - Price &amp; Reviews</t>
        </is>
      </c>
      <c r="D513" s="2" t="inlineStr">
        <is>
          <t>QE98Q7FAAUXXU</t>
        </is>
      </c>
      <c r="E513" s="3" t="n">
        <v>98</v>
      </c>
      <c r="F513" s="3" t="n">
        <v>2025</v>
      </c>
      <c r="G513" s="4" t="n">
        <v>124.4</v>
      </c>
      <c r="H513" s="3" t="n">
        <v>600</v>
      </c>
      <c r="I513" s="3" t="n">
        <v>400</v>
      </c>
      <c r="J513" s="4" t="n"/>
      <c r="K513" s="4">
        <f>IF(ISNUMBER(J513),J513+I513/10,"")</f>
        <v/>
      </c>
      <c r="L513" s="2" t="inlineStr">
        <is>
          <t>estimat</t>
        </is>
      </c>
      <c r="M513" s="2" t="inlineStr"/>
      <c r="N513" s="2" t="inlineStr"/>
    </row>
    <row r="514">
      <c r="A514" s="2" t="inlineStr">
        <is>
          <t>Samsung</t>
        </is>
      </c>
      <c r="B514" s="2" t="inlineStr">
        <is>
          <t>Q7F</t>
        </is>
      </c>
      <c r="C514" s="2" t="inlineStr">
        <is>
          <t>2025 Q7F 85 inch 4K Real QLED Vision AI TV</t>
        </is>
      </c>
      <c r="D514" s="2" t="inlineStr">
        <is>
          <t>QE85Q7FAAUXXU, QE85Q7FAAUXXN, QE85Q7F2AUXXU, TQ85Q7FAAUXXC, GQ85Q7F2AUXZG, GQ85Q7FAAUXZG, QE85Q7F4AUXZT, QE85Q7FAAUXZT</t>
        </is>
      </c>
      <c r="E514" s="3" t="n">
        <v>85</v>
      </c>
      <c r="F514" s="3" t="n">
        <v>2025</v>
      </c>
      <c r="G514" s="4" t="n">
        <v>108.8</v>
      </c>
      <c r="H514" s="3" t="n">
        <v>600</v>
      </c>
      <c r="I514" s="3" t="n">
        <v>400</v>
      </c>
      <c r="J514" s="4" t="n">
        <v>32.8</v>
      </c>
      <c r="K514" s="4">
        <f>IF(ISNUMBER(J514),J514+I514/10,"")</f>
        <v/>
      </c>
      <c r="L514" s="2" t="inlineStr">
        <is>
          <t>3D-model</t>
        </is>
      </c>
      <c r="M514" s="2" t="inlineStr">
        <is>
          <t>Samsung</t>
        </is>
      </c>
      <c r="N514" s="2" t="inlineStr">
        <is>
          <t>Målt på Samsungs 3D-model af tv'et fra samsung.com: nederste VESA-hul 32,8 cm fra underkant. Metoden ramte 11 kendte mål med højst 1,2 cm afvigelse. Usikkerhed ca. ±1,5 cm.</t>
        </is>
      </c>
    </row>
    <row r="515">
      <c r="A515" s="2" t="inlineStr">
        <is>
          <t>Samsung</t>
        </is>
      </c>
      <c r="B515" s="2" t="inlineStr">
        <is>
          <t>Q7F</t>
        </is>
      </c>
      <c r="C515" s="2" t="inlineStr">
        <is>
          <t>2025 Q7F 75 inch 4K Real QLED Vision AI TV</t>
        </is>
      </c>
      <c r="D515" s="2" t="inlineStr">
        <is>
          <t>QE75Q7FAAUXXU, QE75Q7F5AUXXN, QE75Q7F4AUXXN, QE75Q7F3AUXXN, QE75Q7F2AUXXN, QE75Q7FAAUXXN, QE75Q7F5AUXXU, QE75Q7F2AUXXU, TQ75Q7F4BUXXC, TQ75Q7F5AUXXC, TQ75Q7FAAUXXC, TQ75Q7F2BUXXC, TQ75Q7F3BUXXC, GQ75Q7F5AUXZG, GQ75Q7F2AUXZG, GQ75Q7FAAUXZG, QE75Q7F4AUXZT, QE75Q7F5AUXZT, QE75Q7FAAUXZT, TQ75Q7F4AUXXC</t>
        </is>
      </c>
      <c r="E515" s="3" t="n">
        <v>75</v>
      </c>
      <c r="F515" s="3" t="n">
        <v>2025</v>
      </c>
      <c r="G515" s="4" t="n">
        <v>96.2</v>
      </c>
      <c r="H515" s="3" t="n">
        <v>400</v>
      </c>
      <c r="I515" s="3" t="n">
        <v>400</v>
      </c>
      <c r="J515" s="4" t="n">
        <v>27.8</v>
      </c>
      <c r="K515" s="4">
        <f>IF(ISNUMBER(J515),J515+I515/10,"")</f>
        <v/>
      </c>
      <c r="L515" s="2" t="inlineStr">
        <is>
          <t>3D-model</t>
        </is>
      </c>
      <c r="M515" s="2" t="inlineStr">
        <is>
          <t>Samsung</t>
        </is>
      </c>
      <c r="N515" s="2" t="inlineStr">
        <is>
          <t>Målt på Samsungs 3D-model af tv'et fra samsung.com: nederste VESA-hul 27,8 cm fra underkant. Metoden ramte 11 kendte mål med højst 1,2 cm afvigelse. Usikkerhed ca. ±1,5 cm.</t>
        </is>
      </c>
    </row>
    <row r="516">
      <c r="A516" s="2" t="inlineStr">
        <is>
          <t>Samsung</t>
        </is>
      </c>
      <c r="B516" s="2" t="inlineStr">
        <is>
          <t>Q7F</t>
        </is>
      </c>
      <c r="C516" s="2" t="inlineStr">
        <is>
          <t>2025 Q7F 65 inch 4K Real QLED Vision AI TV</t>
        </is>
      </c>
      <c r="D516" s="2" t="inlineStr">
        <is>
          <t>QE65Q7FAAUXXU, QE65Q7F5AUXXN, QE65Q7F4AUXXN, QE65Q7F3AUXXN, QE65Q7F2AUXXN, QE65Q7FAAUXXN, QE65Q7F5AUXXU, QE65Q7F2AUXXU, TQ65Q7F4BUXXC, TQ65Q7F5AUXXC, TQ65Q7FAAUXXC, TQ65Q7F2BUXXC, TQ65Q7F3BUXXC, GQ65Q7F5AUXZG, GQ65Q7F2AUXZG, GQ65Q7FAAUXZG, QE65Q7F4AUXZT, QE65Q7F5AUXZT, QE65Q7FAAUXZT, TQ65Q7F4AUXXC</t>
        </is>
      </c>
      <c r="E516" s="3" t="n">
        <v>65</v>
      </c>
      <c r="F516" s="3" t="n">
        <v>2025</v>
      </c>
      <c r="G516" s="4" t="n">
        <v>83.40000000000001</v>
      </c>
      <c r="H516" s="3" t="n">
        <v>400</v>
      </c>
      <c r="I516" s="3" t="n">
        <v>300</v>
      </c>
      <c r="J516" s="4" t="n">
        <v>28.9</v>
      </c>
      <c r="K516" s="4">
        <f>IF(ISNUMBER(J516),J516+I516/10,"")</f>
        <v/>
      </c>
      <c r="L516" s="2" t="inlineStr">
        <is>
          <t>billedmålt</t>
        </is>
      </c>
      <c r="M516" s="2" t="inlineStr">
        <is>
          <t>Which?</t>
        </is>
      </c>
      <c r="N516" s="2" t="inlineStr">
        <is>
          <t>Billedmålt på Which?-foto (samsung-qe65q7faauxxu): nederste VESA-hul 28,9 cm fra underkant, målt ud fra VESA 400×300 som skala. Usikkerhed ca. ±1 cm. 3D-kontrol (Samsungs 3D-model): 29,8 cm.</t>
        </is>
      </c>
    </row>
    <row r="517">
      <c r="A517" s="2" t="inlineStr">
        <is>
          <t>Samsung</t>
        </is>
      </c>
      <c r="B517" s="2" t="inlineStr">
        <is>
          <t>Q7F</t>
        </is>
      </c>
      <c r="C517" s="2" t="inlineStr">
        <is>
          <t>2025 Q7F 55 inch 4K Real QLED Vision AI TV</t>
        </is>
      </c>
      <c r="D517" s="2" t="inlineStr">
        <is>
          <t>QE55Q7FAAUXXU, QE55Q7F5AUXXN, QE55Q7F4AUXXN, QE55Q7F3AUXXN, QE55Q7F2AUXXN, QE55Q7FAAUXXN, QE55Q7F5AUXXU, QE55Q7F2AUXXU, TQ55Q7F4BUXXC, TQ55Q7F5AUXXC, TQ55Q7FAAUXXC, TQ55Q7F2BUXXC, TQ55Q7F3BUXXC, GQ55Q7F5AUXZG, GQ55Q7F2AUXZG, GQ55Q7FAAUXZG, QE55Q7F4AUXZT, QE55Q7F5AUXZT, QE55Q7FAAUXZT, TQ55Q7F4AUXXC</t>
        </is>
      </c>
      <c r="E517" s="3" t="n">
        <v>55</v>
      </c>
      <c r="F517" s="3" t="n">
        <v>2025</v>
      </c>
      <c r="G517" s="4" t="n">
        <v>71.09999999999999</v>
      </c>
      <c r="H517" s="3" t="n">
        <v>200</v>
      </c>
      <c r="I517" s="3" t="n">
        <v>200</v>
      </c>
      <c r="J517" s="4" t="n">
        <v>28.7</v>
      </c>
      <c r="K517" s="4">
        <f>IF(ISNUMBER(J517),J517+I517/10,"")</f>
        <v/>
      </c>
      <c r="L517" s="2" t="inlineStr">
        <is>
          <t>3D-model</t>
        </is>
      </c>
      <c r="M517" s="2" t="inlineStr">
        <is>
          <t>Samsung</t>
        </is>
      </c>
      <c r="N517" s="2" t="inlineStr">
        <is>
          <t>Målt på Samsungs 3D-model af tv'et fra samsung.com: nederste VESA-hul 28,7 cm fra underkant. Metoden ramte 11 kendte mål med højst 1,2 cm afvigelse. Usikkerhed ca. ±1,5 cm.</t>
        </is>
      </c>
    </row>
    <row r="518">
      <c r="A518" s="2" t="inlineStr">
        <is>
          <t>Samsung</t>
        </is>
      </c>
      <c r="B518" s="2" t="inlineStr">
        <is>
          <t>Q7F</t>
        </is>
      </c>
      <c r="C518" s="2" t="inlineStr">
        <is>
          <t>2025 Q7F 50 inch 4K Real QLED Vision AI TV</t>
        </is>
      </c>
      <c r="D518" s="2" t="inlineStr">
        <is>
          <t>QE50Q7FAAUXXU, QE50Q7F4AUXXN, QE50Q7F3AUXXN, QE50Q7F2AUXXN, QE50Q7FAAUXXN, QE50Q7F2AUXXU, TQ50Q7F4BUXXC, TQ50Q7FAAUXXC, TQ50Q7F2BUXXC, TQ50Q7F3BUXXC, GQ50Q7F2AUXZG, GQ50Q7FAAUXZG, QE50Q7F4AUXZT, QE50Q7FAAUXZT</t>
        </is>
      </c>
      <c r="E518" s="3" t="n">
        <v>50</v>
      </c>
      <c r="F518" s="3" t="n">
        <v>2025</v>
      </c>
      <c r="G518" s="4" t="n">
        <v>64.7</v>
      </c>
      <c r="H518" s="3" t="n">
        <v>200</v>
      </c>
      <c r="I518" s="3" t="n">
        <v>200</v>
      </c>
      <c r="J518" s="4" t="n">
        <v>29.9</v>
      </c>
      <c r="K518" s="4">
        <f>IF(ISNUMBER(J518),J518+I518/10,"")</f>
        <v/>
      </c>
      <c r="L518" s="2" t="inlineStr">
        <is>
          <t>billedmålt</t>
        </is>
      </c>
      <c r="M518" s="2" t="inlineStr">
        <is>
          <t>Which?</t>
        </is>
      </c>
      <c r="N518" s="2" t="inlineStr">
        <is>
          <t>Billedmålt på Which?-foto (samsung-qe50q7faauxxu): nederste VESA-hul 29,9 cm fra underkant, målt ud fra VESA 200×200 som skala. Usikkerhed ca. ±1 cm. 3D-kontrol (Samsungs 3D-model): 28,8 cm.</t>
        </is>
      </c>
    </row>
    <row r="519">
      <c r="A519" s="2" t="inlineStr">
        <is>
          <t>Samsung</t>
        </is>
      </c>
      <c r="B519" s="2" t="inlineStr">
        <is>
          <t>Q7F</t>
        </is>
      </c>
      <c r="C519" s="2" t="inlineStr">
        <is>
          <t>2025 Q7F 43 inch 4K Real QLED Vision AI TV</t>
        </is>
      </c>
      <c r="D519" s="2" t="inlineStr">
        <is>
          <t>QE43Q7FAAUXXU, QE43Q7F4AUXXN, QE43Q7F3AUXXN, QE43Q7F2AUXXN, QE43Q7FAAUXXN, QE43Q7F2AUXXU, TQ43Q7F4BUXXC, TQ43Q7FAAUXXC, TQ43Q7F2BUXXC, TQ43Q7F3BUXXC, GQ43Q7F2AUXZG, GQ43Q7FAAUXZG, QE43Q7F4AUXZT, QE43Q7FAAUXZT</t>
        </is>
      </c>
      <c r="E519" s="3" t="n">
        <v>43</v>
      </c>
      <c r="F519" s="3" t="n">
        <v>2025</v>
      </c>
      <c r="G519" s="4" t="n">
        <v>56.1</v>
      </c>
      <c r="H519" s="3" t="n">
        <v>200</v>
      </c>
      <c r="I519" s="3" t="n">
        <v>200</v>
      </c>
      <c r="J519" s="4" t="n">
        <v>21.8</v>
      </c>
      <c r="K519" s="4">
        <f>IF(ISNUMBER(J519),J519+I519/10,"")</f>
        <v/>
      </c>
      <c r="L519" s="2" t="inlineStr">
        <is>
          <t>billedmålt</t>
        </is>
      </c>
      <c r="M519" s="2" t="inlineStr">
        <is>
          <t>Which?</t>
        </is>
      </c>
      <c r="N519" s="2" t="inlineStr">
        <is>
          <t>Billedmålt på Which?-foto (samsung-qe43q7faauxxu): nederste VESA-hul 21,8 cm fra underkant, målt ud fra VESA 200×200 som skala. Usikkerhed ca. ±1 cm. 3D-kontrol (Samsungs 3D-model): 21,8 cm.</t>
        </is>
      </c>
    </row>
    <row r="520">
      <c r="A520" s="2" t="inlineStr">
        <is>
          <t>Samsung</t>
        </is>
      </c>
      <c r="B520" s="2" t="inlineStr">
        <is>
          <t>Q80C</t>
        </is>
      </c>
      <c r="C520" s="2" t="inlineStr">
        <is>
          <t>Shop the 2023 98 Inch QLED 4K Smart TV Q80C</t>
        </is>
      </c>
      <c r="D520" s="2" t="inlineStr">
        <is>
          <t>QE98Q80CATXXU</t>
        </is>
      </c>
      <c r="E520" s="3" t="n">
        <v>98</v>
      </c>
      <c r="F520" s="3" t="n">
        <v>2023</v>
      </c>
      <c r="G520" s="4" t="n">
        <v>124.4</v>
      </c>
      <c r="H520" s="3" t="n">
        <v>600</v>
      </c>
      <c r="I520" s="3" t="n">
        <v>400</v>
      </c>
      <c r="J520" s="4" t="n">
        <v>50.8</v>
      </c>
      <c r="K520" s="4">
        <f>IF(ISNUMBER(J520),J520+I520/10,"")</f>
        <v/>
      </c>
      <c r="L520" s="2" t="inlineStr">
        <is>
          <t>3D-model</t>
        </is>
      </c>
      <c r="M520" s="2" t="inlineStr">
        <is>
          <t>Samsung</t>
        </is>
      </c>
      <c r="N520" s="2" t="inlineStr">
        <is>
          <t>Målt på Samsungs 3D-model af tv'et fra samsung.com (modellen for TQ98Q80CATXXC): nederste VESA-hul 50,8 cm fra underkant. Metoden ramte 11 kendte mål med højst 1,2 cm afvigelse. Usikkerhed ca. ±1,5 cm.</t>
        </is>
      </c>
    </row>
    <row r="521">
      <c r="A521" s="2" t="inlineStr">
        <is>
          <t>Samsung</t>
        </is>
      </c>
      <c r="B521" s="2" t="inlineStr">
        <is>
          <t>Q80D</t>
        </is>
      </c>
      <c r="C521" s="2" t="inlineStr">
        <is>
          <t>Q80D 85 Inch 2024 Real QLED 4K TV</t>
        </is>
      </c>
      <c r="D521" s="2" t="inlineStr">
        <is>
          <t>QE85Q80DATXXU, QE85Q80DATXXN, TQ85Q80DATXXC, GQ85Q80DATXZG</t>
        </is>
      </c>
      <c r="E521" s="3" t="n">
        <v>85</v>
      </c>
      <c r="F521" s="3" t="n">
        <v>2024</v>
      </c>
      <c r="G521" s="4" t="n">
        <v>108.3</v>
      </c>
      <c r="H521" s="3" t="n">
        <v>600</v>
      </c>
      <c r="I521" s="3" t="n">
        <v>400</v>
      </c>
      <c r="J521" s="4" t="n"/>
      <c r="K521" s="4">
        <f>IF(ISNUMBER(J521),J521+I521/10,"")</f>
        <v/>
      </c>
      <c r="L521" s="2" t="inlineStr">
        <is>
          <t>estimat</t>
        </is>
      </c>
      <c r="M521" s="2" t="inlineStr"/>
      <c r="N521" s="2" t="inlineStr"/>
    </row>
    <row r="522">
      <c r="A522" s="2" t="inlineStr">
        <is>
          <t>Samsung</t>
        </is>
      </c>
      <c r="B522" s="2" t="inlineStr">
        <is>
          <t>Q80D</t>
        </is>
      </c>
      <c r="C522" s="2" t="inlineStr">
        <is>
          <t>Q80D 75 Inch 2024 Real QLED 4K TV</t>
        </is>
      </c>
      <c r="D522" s="2" t="inlineStr">
        <is>
          <t>QE75Q80DATXXU, QE75Q80DATXXN, TQ75Q80DATXXC, GQ75Q80DATXZG</t>
        </is>
      </c>
      <c r="E522" s="3" t="n">
        <v>75</v>
      </c>
      <c r="F522" s="3" t="n">
        <v>2024</v>
      </c>
      <c r="G522" s="4" t="n">
        <v>95.8</v>
      </c>
      <c r="H522" s="3" t="n">
        <v>400</v>
      </c>
      <c r="I522" s="3" t="n">
        <v>400</v>
      </c>
      <c r="J522" s="4" t="n"/>
      <c r="K522" s="4">
        <f>IF(ISNUMBER(J522),J522+I522/10,"")</f>
        <v/>
      </c>
      <c r="L522" s="2" t="inlineStr">
        <is>
          <t>estimat</t>
        </is>
      </c>
      <c r="M522" s="2" t="inlineStr"/>
      <c r="N522" s="2" t="inlineStr"/>
    </row>
    <row r="523">
      <c r="A523" s="2" t="inlineStr">
        <is>
          <t>Samsung</t>
        </is>
      </c>
      <c r="B523" s="2" t="inlineStr">
        <is>
          <t>Q80D</t>
        </is>
      </c>
      <c r="C523" s="2" t="inlineStr">
        <is>
          <t>Q80D 65 Inch 2024 Real QLED 4K TV</t>
        </is>
      </c>
      <c r="D523" s="2" t="inlineStr">
        <is>
          <t>QE65Q80DATXXU, QE65Q80DATXXN, TQ65Q80DATXXC, GQ65Q80DATXZG, QE65Q80DATXZT</t>
        </is>
      </c>
      <c r="E523" s="3" t="n">
        <v>65</v>
      </c>
      <c r="F523" s="3" t="n">
        <v>2024</v>
      </c>
      <c r="G523" s="4" t="n">
        <v>82.90000000000001</v>
      </c>
      <c r="H523" s="3" t="n">
        <v>400</v>
      </c>
      <c r="I523" s="3" t="n">
        <v>300</v>
      </c>
      <c r="J523" s="4" t="n"/>
      <c r="K523" s="4">
        <f>IF(ISNUMBER(J523),J523+I523/10,"")</f>
        <v/>
      </c>
      <c r="L523" s="2" t="inlineStr">
        <is>
          <t>estimat</t>
        </is>
      </c>
      <c r="M523" s="2" t="inlineStr"/>
      <c r="N523" s="2" t="inlineStr"/>
    </row>
    <row r="524">
      <c r="A524" s="2" t="inlineStr">
        <is>
          <t>Samsung</t>
        </is>
      </c>
      <c r="B524" s="2" t="inlineStr">
        <is>
          <t>Q80D</t>
        </is>
      </c>
      <c r="C524" s="2" t="inlineStr">
        <is>
          <t>Q80D 55 Inch 2024 Real QLED 4K TV</t>
        </is>
      </c>
      <c r="D524" s="2" t="inlineStr">
        <is>
          <t>QE55Q80DATXXU, QE55Q80DATXXN, TQ55Q80DATXXC, GQ55Q80DATXZG, QE55Q80DATXZT</t>
        </is>
      </c>
      <c r="E524" s="3" t="n">
        <v>55</v>
      </c>
      <c r="F524" s="3" t="n">
        <v>2024</v>
      </c>
      <c r="G524" s="4" t="n">
        <v>70.59999999999999</v>
      </c>
      <c r="H524" s="3" t="n">
        <v>200</v>
      </c>
      <c r="I524" s="3" t="n">
        <v>200</v>
      </c>
      <c r="J524" s="4" t="n"/>
      <c r="K524" s="4">
        <f>IF(ISNUMBER(J524),J524+I524/10,"")</f>
        <v/>
      </c>
      <c r="L524" s="2" t="inlineStr">
        <is>
          <t>estimat</t>
        </is>
      </c>
      <c r="M524" s="2" t="inlineStr"/>
      <c r="N524" s="2" t="inlineStr"/>
    </row>
    <row r="525">
      <c r="A525" s="2" t="inlineStr">
        <is>
          <t>Samsung</t>
        </is>
      </c>
      <c r="B525" s="2" t="inlineStr">
        <is>
          <t>Q80D</t>
        </is>
      </c>
      <c r="C525" s="2" t="inlineStr">
        <is>
          <t>Q80D 50 Inch 2024 Real QLED 4K TV</t>
        </is>
      </c>
      <c r="D525" s="2" t="inlineStr">
        <is>
          <t>QE50Q80DATXXU, QE50Q80DATXXN, TQ50Q80DATXXC, GQ50Q80DATXZG, QE50Q80DATXZT</t>
        </is>
      </c>
      <c r="E525" s="3" t="n">
        <v>50</v>
      </c>
      <c r="F525" s="3" t="n">
        <v>2024</v>
      </c>
      <c r="G525" s="4" t="n">
        <v>64.40000000000001</v>
      </c>
      <c r="H525" s="3" t="n">
        <v>200</v>
      </c>
      <c r="I525" s="3" t="n">
        <v>200</v>
      </c>
      <c r="J525" s="4" t="n"/>
      <c r="K525" s="4">
        <f>IF(ISNUMBER(J525),J525+I525/10,"")</f>
        <v/>
      </c>
      <c r="L525" s="2" t="inlineStr">
        <is>
          <t>estimat</t>
        </is>
      </c>
      <c r="M525" s="2" t="inlineStr"/>
      <c r="N525" s="2" t="inlineStr"/>
    </row>
    <row r="526">
      <c r="A526" s="2" t="inlineStr">
        <is>
          <t>Samsung</t>
        </is>
      </c>
      <c r="B526" s="2" t="inlineStr">
        <is>
          <t>Q8F</t>
        </is>
      </c>
      <c r="C526" s="2" t="inlineStr">
        <is>
          <t>2025 Q8F 85 inch 4K Real QLED Vision AI TV</t>
        </is>
      </c>
      <c r="D526" s="2" t="inlineStr">
        <is>
          <t>QE85Q8FAAUXXU, TQ85Q8FAAUXXC, GQ85Q8FAAUXZG, QE85Q8FAAUXZT</t>
        </is>
      </c>
      <c r="E526" s="3" t="n">
        <v>85</v>
      </c>
      <c r="F526" s="3" t="n">
        <v>2025</v>
      </c>
      <c r="G526" s="4" t="n">
        <v>108.6</v>
      </c>
      <c r="H526" s="3" t="n">
        <v>600</v>
      </c>
      <c r="I526" s="3" t="n">
        <v>400</v>
      </c>
      <c r="J526" s="4" t="n"/>
      <c r="K526" s="4">
        <f>IF(ISNUMBER(J526),J526+I526/10,"")</f>
        <v/>
      </c>
      <c r="L526" s="2" t="inlineStr">
        <is>
          <t>estimat</t>
        </is>
      </c>
      <c r="M526" s="2" t="inlineStr"/>
      <c r="N526" s="2" t="inlineStr"/>
    </row>
    <row r="527">
      <c r="A527" s="2" t="inlineStr">
        <is>
          <t>Samsung</t>
        </is>
      </c>
      <c r="B527" s="2" t="inlineStr">
        <is>
          <t>Q8F</t>
        </is>
      </c>
      <c r="C527" s="2" t="inlineStr">
        <is>
          <t>2025 Q8F 75 inch 4K Real QLED Vision AI TV</t>
        </is>
      </c>
      <c r="D527" s="2" t="inlineStr">
        <is>
          <t>QE75Q8FAAUXXU, TQ75Q8FAAUXXC, GQ75Q8FAAUXZG, QE75Q8FAAUXZT</t>
        </is>
      </c>
      <c r="E527" s="3" t="n">
        <v>75</v>
      </c>
      <c r="F527" s="3" t="n">
        <v>2025</v>
      </c>
      <c r="G527" s="4" t="n">
        <v>96</v>
      </c>
      <c r="H527" s="3" t="n">
        <v>400</v>
      </c>
      <c r="I527" s="3" t="n">
        <v>400</v>
      </c>
      <c r="J527" s="4" t="n"/>
      <c r="K527" s="4">
        <f>IF(ISNUMBER(J527),J527+I527/10,"")</f>
        <v/>
      </c>
      <c r="L527" s="2" t="inlineStr">
        <is>
          <t>estimat</t>
        </is>
      </c>
      <c r="M527" s="2" t="inlineStr"/>
      <c r="N527" s="2" t="inlineStr"/>
    </row>
    <row r="528">
      <c r="A528" s="2" t="inlineStr">
        <is>
          <t>Samsung</t>
        </is>
      </c>
      <c r="B528" s="2" t="inlineStr">
        <is>
          <t>Q8F</t>
        </is>
      </c>
      <c r="C528" s="2" t="inlineStr">
        <is>
          <t>2025 Q8F 65 inch 4K Real QLED Vision AI TV</t>
        </is>
      </c>
      <c r="D528" s="2" t="inlineStr">
        <is>
          <t>QE65Q8FAAUXXU, TQ65Q8FAAUXXC, GQ65Q8FAAUXZG, QE65Q8FAAUXZT</t>
        </is>
      </c>
      <c r="E528" s="3" t="n">
        <v>65</v>
      </c>
      <c r="F528" s="3" t="n">
        <v>2025</v>
      </c>
      <c r="G528" s="4" t="n">
        <v>83.2</v>
      </c>
      <c r="H528" s="3" t="n">
        <v>400</v>
      </c>
      <c r="I528" s="3" t="n">
        <v>300</v>
      </c>
      <c r="J528" s="4" t="n"/>
      <c r="K528" s="4">
        <f>IF(ISNUMBER(J528),J528+I528/10,"")</f>
        <v/>
      </c>
      <c r="L528" s="2" t="inlineStr">
        <is>
          <t>estimat</t>
        </is>
      </c>
      <c r="M528" s="2" t="inlineStr"/>
      <c r="N528" s="2" t="inlineStr"/>
    </row>
    <row r="529">
      <c r="A529" s="2" t="inlineStr">
        <is>
          <t>Samsung</t>
        </is>
      </c>
      <c r="B529" s="2" t="inlineStr">
        <is>
          <t>Q8F</t>
        </is>
      </c>
      <c r="C529" s="2" t="inlineStr">
        <is>
          <t>2025 Q8F 55 inch 4K Real QLED Vision AI TV</t>
        </is>
      </c>
      <c r="D529" s="2" t="inlineStr">
        <is>
          <t>QE55Q8FAAUXXU, TQ55Q8FAAUXXC, GQ55Q8FAAUXZG, QE55Q8FAAUXZT</t>
        </is>
      </c>
      <c r="E529" s="3" t="n">
        <v>55</v>
      </c>
      <c r="F529" s="3" t="n">
        <v>2025</v>
      </c>
      <c r="G529" s="4" t="n">
        <v>70.90000000000001</v>
      </c>
      <c r="H529" s="3" t="n">
        <v>200</v>
      </c>
      <c r="I529" s="3" t="n">
        <v>200</v>
      </c>
      <c r="J529" s="4" t="n"/>
      <c r="K529" s="4">
        <f>IF(ISNUMBER(J529),J529+I529/10,"")</f>
        <v/>
      </c>
      <c r="L529" s="2" t="inlineStr">
        <is>
          <t>estimat</t>
        </is>
      </c>
      <c r="M529" s="2" t="inlineStr"/>
      <c r="N529" s="2" t="inlineStr"/>
    </row>
    <row r="530">
      <c r="A530" s="2" t="inlineStr">
        <is>
          <t>Samsung</t>
        </is>
      </c>
      <c r="B530" s="2" t="inlineStr">
        <is>
          <t>Q8F</t>
        </is>
      </c>
      <c r="C530" s="2" t="inlineStr">
        <is>
          <t>2025 Q8F 50 inch 4K Real QLED Vision AI TV</t>
        </is>
      </c>
      <c r="D530" s="2" t="inlineStr">
        <is>
          <t>QE50Q8FAAUXXU, TQ50Q8FAAUXXC, GQ50Q8FAAUXZG, QE50Q8FAAUXZT</t>
        </is>
      </c>
      <c r="E530" s="3" t="n">
        <v>50</v>
      </c>
      <c r="F530" s="3" t="n">
        <v>2025</v>
      </c>
      <c r="G530" s="4" t="n">
        <v>64.40000000000001</v>
      </c>
      <c r="H530" s="3" t="n">
        <v>200</v>
      </c>
      <c r="I530" s="3" t="n">
        <v>200</v>
      </c>
      <c r="J530" s="4" t="n"/>
      <c r="K530" s="4">
        <f>IF(ISNUMBER(J530),J530+I530/10,"")</f>
        <v/>
      </c>
      <c r="L530" s="2" t="inlineStr">
        <is>
          <t>estimat</t>
        </is>
      </c>
      <c r="M530" s="2" t="inlineStr"/>
      <c r="N530" s="2" t="inlineStr"/>
    </row>
    <row r="531">
      <c r="A531" s="2" t="inlineStr">
        <is>
          <t>Samsung</t>
        </is>
      </c>
      <c r="B531" s="2" t="inlineStr">
        <is>
          <t>Q8F</t>
        </is>
      </c>
      <c r="C531" s="2" t="inlineStr">
        <is>
          <t>2025 Q8F 43 inch 4K Real QLED Vision AI TV</t>
        </is>
      </c>
      <c r="D531" s="2" t="inlineStr">
        <is>
          <t>QE43Q8FAAUXXU, TQ43Q8FAAUXXC, GQ43Q8FAAUXZG, QE43Q8FAAUXZT</t>
        </is>
      </c>
      <c r="E531" s="3" t="n">
        <v>43</v>
      </c>
      <c r="F531" s="3" t="n">
        <v>2025</v>
      </c>
      <c r="G531" s="4" t="n">
        <v>55.9</v>
      </c>
      <c r="H531" s="3" t="n">
        <v>200</v>
      </c>
      <c r="I531" s="3" t="n">
        <v>200</v>
      </c>
      <c r="J531" s="4" t="n"/>
      <c r="K531" s="4">
        <f>IF(ISNUMBER(J531),J531+I531/10,"")</f>
        <v/>
      </c>
      <c r="L531" s="2" t="inlineStr">
        <is>
          <t>estimat</t>
        </is>
      </c>
      <c r="M531" s="2" t="inlineStr"/>
      <c r="N531" s="2" t="inlineStr"/>
    </row>
    <row r="532">
      <c r="A532" s="2" t="inlineStr">
        <is>
          <t>Samsung</t>
        </is>
      </c>
      <c r="B532" s="2" t="inlineStr">
        <is>
          <t>QE1D</t>
        </is>
      </c>
      <c r="C532" s="2" t="inlineStr">
        <is>
          <t>QE1D 75 Inch 2024 Real QLED  4K TV</t>
        </is>
      </c>
      <c r="D532" s="2" t="inlineStr">
        <is>
          <t>QE75QE1DAUXXU, TQ75QE1DAUXXC, GQ75QE1DAUXZG</t>
        </is>
      </c>
      <c r="E532" s="3" t="n">
        <v>75</v>
      </c>
      <c r="F532" s="3" t="n">
        <v>2024</v>
      </c>
      <c r="G532" s="4" t="n">
        <v>96</v>
      </c>
      <c r="H532" s="3" t="n">
        <v>400</v>
      </c>
      <c r="I532" s="3" t="n">
        <v>400</v>
      </c>
      <c r="J532" s="4" t="n"/>
      <c r="K532" s="4">
        <f>IF(ISNUMBER(J532),J532+I532/10,"")</f>
        <v/>
      </c>
      <c r="L532" s="2" t="inlineStr">
        <is>
          <t>estimat</t>
        </is>
      </c>
      <c r="M532" s="2" t="inlineStr"/>
      <c r="N532" s="2" t="inlineStr"/>
    </row>
    <row r="533">
      <c r="A533" s="2" t="inlineStr">
        <is>
          <t>Samsung</t>
        </is>
      </c>
      <c r="B533" s="2" t="inlineStr">
        <is>
          <t>QE1D</t>
        </is>
      </c>
      <c r="C533" s="2" t="inlineStr">
        <is>
          <t>QE1D 65 Inch 2024 Real QLED 4K TV</t>
        </is>
      </c>
      <c r="D533" s="2" t="inlineStr">
        <is>
          <t>QE65QE1DAUXXU, TQ65QE1DAUXXC, GQ65QE1DAUXZG</t>
        </is>
      </c>
      <c r="E533" s="3" t="n">
        <v>65</v>
      </c>
      <c r="F533" s="3" t="n">
        <v>2024</v>
      </c>
      <c r="G533" s="4" t="n">
        <v>83.09999999999999</v>
      </c>
      <c r="H533" s="3" t="n">
        <v>400</v>
      </c>
      <c r="I533" s="3" t="n">
        <v>300</v>
      </c>
      <c r="J533" s="4" t="n"/>
      <c r="K533" s="4">
        <f>IF(ISNUMBER(J533),J533+I533/10,"")</f>
        <v/>
      </c>
      <c r="L533" s="2" t="inlineStr">
        <is>
          <t>estimat</t>
        </is>
      </c>
      <c r="M533" s="2" t="inlineStr"/>
      <c r="N533" s="2" t="inlineStr"/>
    </row>
    <row r="534">
      <c r="A534" s="2" t="inlineStr">
        <is>
          <t>Samsung</t>
        </is>
      </c>
      <c r="B534" s="2" t="inlineStr">
        <is>
          <t>QE1D</t>
        </is>
      </c>
      <c r="C534" s="2" t="inlineStr">
        <is>
          <t>QE1D 55 Inch 2024 Real QLED 4K TV</t>
        </is>
      </c>
      <c r="D534" s="2" t="inlineStr">
        <is>
          <t>QE55QE1DAUXXU, TQ55QE1DAUXXC, GQ55QE1DAUXZG</t>
        </is>
      </c>
      <c r="E534" s="3" t="n">
        <v>55</v>
      </c>
      <c r="F534" s="3" t="n">
        <v>2024</v>
      </c>
      <c r="G534" s="4" t="n">
        <v>70.8</v>
      </c>
      <c r="H534" s="3" t="n">
        <v>200</v>
      </c>
      <c r="I534" s="3" t="n">
        <v>200</v>
      </c>
      <c r="J534" s="4" t="n"/>
      <c r="K534" s="4">
        <f>IF(ISNUMBER(J534),J534+I534/10,"")</f>
        <v/>
      </c>
      <c r="L534" s="2" t="inlineStr">
        <is>
          <t>estimat</t>
        </is>
      </c>
      <c r="M534" s="2" t="inlineStr"/>
      <c r="N534" s="2" t="inlineStr"/>
    </row>
    <row r="535">
      <c r="A535" s="2" t="inlineStr">
        <is>
          <t>Samsung</t>
        </is>
      </c>
      <c r="B535" s="2" t="inlineStr">
        <is>
          <t>QE1D</t>
        </is>
      </c>
      <c r="C535" s="2" t="inlineStr">
        <is>
          <t>QE1D 50 Inch 2024 Real QLED 4K TV</t>
        </is>
      </c>
      <c r="D535" s="2" t="inlineStr">
        <is>
          <t>QE50QE1DAUXXU, TQ50QE1DAUXXC, GQ50QE1DAUXZG</t>
        </is>
      </c>
      <c r="E535" s="3" t="n">
        <v>50</v>
      </c>
      <c r="F535" s="3" t="n">
        <v>2024</v>
      </c>
      <c r="G535" s="4" t="n">
        <v>64.40000000000001</v>
      </c>
      <c r="H535" s="3" t="n">
        <v>200</v>
      </c>
      <c r="I535" s="3" t="n">
        <v>200</v>
      </c>
      <c r="J535" s="4" t="n"/>
      <c r="K535" s="4">
        <f>IF(ISNUMBER(J535),J535+I535/10,"")</f>
        <v/>
      </c>
      <c r="L535" s="2" t="inlineStr">
        <is>
          <t>estimat</t>
        </is>
      </c>
      <c r="M535" s="2" t="inlineStr"/>
      <c r="N535" s="2" t="inlineStr"/>
    </row>
    <row r="536">
      <c r="A536" s="2" t="inlineStr">
        <is>
          <t>Samsung</t>
        </is>
      </c>
      <c r="B536" s="2" t="inlineStr">
        <is>
          <t>QEF1</t>
        </is>
      </c>
      <c r="C536" s="2" t="inlineStr">
        <is>
          <t>2025 QEF1 75 inch 4K Real QLED Vision AI TV</t>
        </is>
      </c>
      <c r="D536" s="2" t="inlineStr">
        <is>
          <t>QE75QEF1AUXXU, QE75QEF1AUXXN, TQ75QEF1AUXXC, GQ75QEF1AUXZG, QE75QEF1AUXZT</t>
        </is>
      </c>
      <c r="E536" s="3" t="n">
        <v>75</v>
      </c>
      <c r="F536" s="3" t="n">
        <v>2025</v>
      </c>
      <c r="G536" s="4" t="n">
        <v>96.2</v>
      </c>
      <c r="H536" s="3" t="n">
        <v>400</v>
      </c>
      <c r="I536" s="3" t="n">
        <v>400</v>
      </c>
      <c r="J536" s="4" t="n">
        <v>27.8</v>
      </c>
      <c r="K536" s="4">
        <f>IF(ISNUMBER(J536),J536+I536/10,"")</f>
        <v/>
      </c>
      <c r="L536" s="2" t="inlineStr">
        <is>
          <t>3D-model</t>
        </is>
      </c>
      <c r="M536" s="2" t="inlineStr">
        <is>
          <t>Samsung</t>
        </is>
      </c>
      <c r="N536" s="2" t="inlineStr">
        <is>
          <t>Målt på Samsungs 3D-model af tv'et fra samsung.com: nederste VESA-hul 27,8 cm fra underkant. Metoden ramte 11 kendte mål med højst 1,2 cm afvigelse. Usikkerhed ca. ±1,5 cm.</t>
        </is>
      </c>
    </row>
    <row r="537">
      <c r="A537" s="2" t="inlineStr">
        <is>
          <t>Samsung</t>
        </is>
      </c>
      <c r="B537" s="2" t="inlineStr">
        <is>
          <t>QEF1</t>
        </is>
      </c>
      <c r="C537" s="2" t="inlineStr">
        <is>
          <t>2025 QEF1 65 inch 4K Real QLED Vision AI TV</t>
        </is>
      </c>
      <c r="D537" s="2" t="inlineStr">
        <is>
          <t>QE65QEF1AUXXU, QE65QEF1AUXXN, TQ65QEF1AUXXC, GQ65QEF1AUXZG, QE65QEF1AUXZT</t>
        </is>
      </c>
      <c r="E537" s="3" t="n">
        <v>65</v>
      </c>
      <c r="F537" s="3" t="n">
        <v>2025</v>
      </c>
      <c r="G537" s="4" t="n">
        <v>83.40000000000001</v>
      </c>
      <c r="H537" s="3" t="n">
        <v>400</v>
      </c>
      <c r="I537" s="3" t="n">
        <v>300</v>
      </c>
      <c r="J537" s="4" t="n">
        <v>28.9</v>
      </c>
      <c r="K537" s="4">
        <f>IF(ISNUMBER(J537),J537+I537/10,"")</f>
        <v/>
      </c>
      <c r="L537" s="2" t="inlineStr">
        <is>
          <t>billedmålt</t>
        </is>
      </c>
      <c r="M537" s="2" t="inlineStr">
        <is>
          <t>Which?</t>
        </is>
      </c>
      <c r="N537" s="2" t="inlineStr">
        <is>
          <t>Billedmålt på Which?-foto (samsung-qe65qef1auxxu): nederste VESA-hul 28,9 cm fra underkant, målt ud fra VESA 400×300 som skala. Usikkerhed ca. ±1 cm. 3D-kontrol (Samsungs 3D-model): 29,8 cm.</t>
        </is>
      </c>
    </row>
    <row r="538">
      <c r="A538" s="2" t="inlineStr">
        <is>
          <t>Samsung</t>
        </is>
      </c>
      <c r="B538" s="2" t="inlineStr">
        <is>
          <t>QEF1</t>
        </is>
      </c>
      <c r="C538" s="2" t="inlineStr">
        <is>
          <t>2025 QEF1 55 inch 4K Real QLED Vision AI TV</t>
        </is>
      </c>
      <c r="D538" s="2" t="inlineStr">
        <is>
          <t>QE55QEF1AUXXU, QE55QEF1AUXXN, TQ55QEF1AUXXC, GQ55QEF1AUXZG, QE55QEF1AUXZT</t>
        </is>
      </c>
      <c r="E538" s="3" t="n">
        <v>55</v>
      </c>
      <c r="F538" s="3" t="n">
        <v>2025</v>
      </c>
      <c r="G538" s="4" t="n">
        <v>71.09999999999999</v>
      </c>
      <c r="H538" s="3" t="n">
        <v>200</v>
      </c>
      <c r="I538" s="3" t="n">
        <v>200</v>
      </c>
      <c r="J538" s="4" t="n">
        <v>28.7</v>
      </c>
      <c r="K538" s="4">
        <f>IF(ISNUMBER(J538),J538+I538/10,"")</f>
        <v/>
      </c>
      <c r="L538" s="2" t="inlineStr">
        <is>
          <t>3D-model</t>
        </is>
      </c>
      <c r="M538" s="2" t="inlineStr">
        <is>
          <t>Samsung</t>
        </is>
      </c>
      <c r="N538" s="2" t="inlineStr">
        <is>
          <t>Målt på Samsungs 3D-model af tv'et fra samsung.com: nederste VESA-hul 28,7 cm fra underkant. Metoden ramte 11 kendte mål med højst 1,2 cm afvigelse. Usikkerhed ca. ±1,5 cm.</t>
        </is>
      </c>
    </row>
    <row r="539">
      <c r="A539" s="2" t="inlineStr">
        <is>
          <t>Samsung</t>
        </is>
      </c>
      <c r="B539" s="2" t="inlineStr">
        <is>
          <t>QEF1</t>
        </is>
      </c>
      <c r="C539" s="2" t="inlineStr">
        <is>
          <t>2025 QEF1 50 inch 4K Real QLED Vision AI TV</t>
        </is>
      </c>
      <c r="D539" s="2" t="inlineStr">
        <is>
          <t>QE50QEF1AUXXU, QE50QEF1AUXXN, TQ50QEF1AUXXC, GQ50QEF1AUXZG, QE50QEF1AUXZT</t>
        </is>
      </c>
      <c r="E539" s="3" t="n">
        <v>50</v>
      </c>
      <c r="F539" s="3" t="n">
        <v>2025</v>
      </c>
      <c r="G539" s="4" t="n">
        <v>64.7</v>
      </c>
      <c r="H539" s="3" t="n">
        <v>200</v>
      </c>
      <c r="I539" s="3" t="n">
        <v>200</v>
      </c>
      <c r="J539" s="4" t="n">
        <v>28.6</v>
      </c>
      <c r="K539" s="4">
        <f>IF(ISNUMBER(J539),J539+I539/10,"")</f>
        <v/>
      </c>
      <c r="L539" s="2" t="inlineStr">
        <is>
          <t>billedmålt</t>
        </is>
      </c>
      <c r="M539" s="2" t="inlineStr">
        <is>
          <t>Which?</t>
        </is>
      </c>
      <c r="N539" s="2" t="inlineStr">
        <is>
          <t>Billedmålt på Which?-foto (samsung-qe50qef1auxxu): nederste VESA-hul 28,6 cm fra underkant, målt ud fra VESA 200×200 som skala. Usikkerhed ca. ±1 cm. 3D-kontrol (Samsungs 3D-model): 28,8 cm.</t>
        </is>
      </c>
    </row>
    <row r="540">
      <c r="A540" s="2" t="inlineStr">
        <is>
          <t>Samsung</t>
        </is>
      </c>
      <c r="B540" s="2" t="inlineStr">
        <is>
          <t>QN1EF</t>
        </is>
      </c>
      <c r="C540" s="2" t="inlineStr">
        <is>
          <t>2025 QN1EF 85 inch 4K Neo QLED Mini LED Vision AI TV</t>
        </is>
      </c>
      <c r="D540" s="2" t="inlineStr">
        <is>
          <t>QE85QN1EFAUXXU, QE85QN1EFAUXXN, TQ85QN1EFAUXXC, GQ85QN1EFAUXZG, QE85QN1EFAUXZT</t>
        </is>
      </c>
      <c r="E540" s="3" t="n">
        <v>85</v>
      </c>
      <c r="F540" s="3" t="n">
        <v>2025</v>
      </c>
      <c r="G540" s="4" t="n">
        <v>108.7</v>
      </c>
      <c r="H540" s="3" t="n">
        <v>600</v>
      </c>
      <c r="I540" s="3" t="n">
        <v>400</v>
      </c>
      <c r="J540" s="4" t="n"/>
      <c r="K540" s="4">
        <f>IF(ISNUMBER(J540),J540+I540/10,"")</f>
        <v/>
      </c>
      <c r="L540" s="2" t="inlineStr">
        <is>
          <t>estimat</t>
        </is>
      </c>
      <c r="M540" s="2" t="inlineStr"/>
      <c r="N540" s="2" t="inlineStr"/>
    </row>
    <row r="541">
      <c r="A541" s="2" t="inlineStr">
        <is>
          <t>Samsung</t>
        </is>
      </c>
      <c r="B541" s="2" t="inlineStr">
        <is>
          <t>QN1EF</t>
        </is>
      </c>
      <c r="C541" s="2" t="inlineStr">
        <is>
          <t>2025 QN1EF 75 inch 4K Neo QLED Mini LED Vision AI TV</t>
        </is>
      </c>
      <c r="D541" s="2" t="inlineStr">
        <is>
          <t>QE75QN1EFAUXXU, QE75QN1EFAUXXN, TQ75QN1EFAUXXC, GQ75QN1EFAUXZG, QE75QN1EFAUXZT</t>
        </is>
      </c>
      <c r="E541" s="3" t="n">
        <v>75</v>
      </c>
      <c r="F541" s="3" t="n">
        <v>2025</v>
      </c>
      <c r="G541" s="4" t="n">
        <v>96.09999999999999</v>
      </c>
      <c r="H541" s="3" t="n">
        <v>400</v>
      </c>
      <c r="I541" s="3" t="n">
        <v>400</v>
      </c>
      <c r="J541" s="4" t="n"/>
      <c r="K541" s="4">
        <f>IF(ISNUMBER(J541),J541+I541/10,"")</f>
        <v/>
      </c>
      <c r="L541" s="2" t="inlineStr">
        <is>
          <t>estimat</t>
        </is>
      </c>
      <c r="M541" s="2" t="inlineStr"/>
      <c r="N541" s="2" t="inlineStr"/>
    </row>
    <row r="542">
      <c r="A542" s="2" t="inlineStr">
        <is>
          <t>Samsung</t>
        </is>
      </c>
      <c r="B542" s="2" t="inlineStr">
        <is>
          <t>QN1EF</t>
        </is>
      </c>
      <c r="C542" s="2" t="inlineStr">
        <is>
          <t>2025 QN1EF 65 inch 4K Neo QLED Mini LED Vision AI TV</t>
        </is>
      </c>
      <c r="D542" s="2" t="inlineStr">
        <is>
          <t>QE65QN1EFAUXXU, QE65QN1EFAUXXN, TQ65QN1EFAUXXC, GQ65QN1EFAUXZG, QE65QN1EFAUXZT</t>
        </is>
      </c>
      <c r="E542" s="3" t="n">
        <v>65</v>
      </c>
      <c r="F542" s="3" t="n">
        <v>2025</v>
      </c>
      <c r="G542" s="4" t="n">
        <v>83.2</v>
      </c>
      <c r="H542" s="3" t="n">
        <v>400</v>
      </c>
      <c r="I542" s="3" t="n">
        <v>300</v>
      </c>
      <c r="J542" s="4" t="n"/>
      <c r="K542" s="4">
        <f>IF(ISNUMBER(J542),J542+I542/10,"")</f>
        <v/>
      </c>
      <c r="L542" s="2" t="inlineStr">
        <is>
          <t>estimat</t>
        </is>
      </c>
      <c r="M542" s="2" t="inlineStr"/>
      <c r="N542" s="2" t="inlineStr"/>
    </row>
    <row r="543">
      <c r="A543" s="2" t="inlineStr">
        <is>
          <t>Samsung</t>
        </is>
      </c>
      <c r="B543" s="2" t="inlineStr">
        <is>
          <t>QN1EF</t>
        </is>
      </c>
      <c r="C543" s="2" t="inlineStr">
        <is>
          <t>2025 QN1EF 55 inch 4K Neo QLED Mini LED Vision AI TV</t>
        </is>
      </c>
      <c r="D543" s="2" t="inlineStr">
        <is>
          <t>QE55QN1EFAUXXU, QE55QN1EFAUXXN, TQ55QN1EFAUXXC, GQ55QN1EFAUXZG, QE55QN1EFAUXZT</t>
        </is>
      </c>
      <c r="E543" s="3" t="n">
        <v>55</v>
      </c>
      <c r="F543" s="3" t="n">
        <v>2025</v>
      </c>
      <c r="G543" s="4" t="n">
        <v>70.90000000000001</v>
      </c>
      <c r="H543" s="3" t="n">
        <v>200</v>
      </c>
      <c r="I543" s="3" t="n">
        <v>200</v>
      </c>
      <c r="J543" s="4" t="n"/>
      <c r="K543" s="4">
        <f>IF(ISNUMBER(J543),J543+I543/10,"")</f>
        <v/>
      </c>
      <c r="L543" s="2" t="inlineStr">
        <is>
          <t>estimat</t>
        </is>
      </c>
      <c r="M543" s="2" t="inlineStr"/>
      <c r="N543" s="2" t="inlineStr"/>
    </row>
    <row r="544">
      <c r="A544" s="2" t="inlineStr">
        <is>
          <t>Samsung</t>
        </is>
      </c>
      <c r="B544" s="2" t="inlineStr">
        <is>
          <t>QN1EH</t>
        </is>
      </c>
      <c r="C544" s="2" t="inlineStr">
        <is>
          <t>2026 QN1EH 85 inch 4K Neo QLED Mini LED Samsung Vision AI TV</t>
        </is>
      </c>
      <c r="D544" s="2" t="inlineStr">
        <is>
          <t>QE85QN1EHAUXXU, QE85QN1EHAUXXN, TQ85QN1EHBUXNA, GQ85QN1EHAUXZG, QE85QN1EHAUXZT, TQ85QN1EHAUXXC</t>
        </is>
      </c>
      <c r="E544" s="3" t="n">
        <v>85</v>
      </c>
      <c r="F544" s="3" t="n">
        <v>2026</v>
      </c>
      <c r="G544" s="4" t="n">
        <v>108.6</v>
      </c>
      <c r="H544" s="3" t="n">
        <v>600</v>
      </c>
      <c r="I544" s="3" t="n">
        <v>400</v>
      </c>
      <c r="J544" s="4" t="n"/>
      <c r="K544" s="4">
        <f>IF(ISNUMBER(J544),J544+I544/10,"")</f>
        <v/>
      </c>
      <c r="L544" s="2" t="inlineStr">
        <is>
          <t>estimat</t>
        </is>
      </c>
      <c r="M544" s="2" t="inlineStr"/>
      <c r="N544" s="2" t="inlineStr"/>
    </row>
    <row r="545">
      <c r="A545" s="2" t="inlineStr">
        <is>
          <t>Samsung</t>
        </is>
      </c>
      <c r="B545" s="2" t="inlineStr">
        <is>
          <t>QN1EH</t>
        </is>
      </c>
      <c r="C545" s="2" t="inlineStr">
        <is>
          <t>2026 QN1EH 75 inch 4K Neo QLED Mini LED Samsung Vision AI TV</t>
        </is>
      </c>
      <c r="D545" s="2" t="inlineStr">
        <is>
          <t>QE75QN1EHAUXXU, QE75QN1EHAUXXN, TQ75QN1EHBUXNA, GQ75QN1EHAUXZG, QE75QN1EHAUXZT, TQ75QN1EHAUXXC</t>
        </is>
      </c>
      <c r="E545" s="3" t="n">
        <v>75</v>
      </c>
      <c r="F545" s="3" t="n">
        <v>2026</v>
      </c>
      <c r="G545" s="4" t="n">
        <v>96</v>
      </c>
      <c r="H545" s="3" t="n">
        <v>400</v>
      </c>
      <c r="I545" s="3" t="n">
        <v>400</v>
      </c>
      <c r="J545" s="4" t="n"/>
      <c r="K545" s="4">
        <f>IF(ISNUMBER(J545),J545+I545/10,"")</f>
        <v/>
      </c>
      <c r="L545" s="2" t="inlineStr">
        <is>
          <t>estimat</t>
        </is>
      </c>
      <c r="M545" s="2" t="inlineStr"/>
      <c r="N545" s="2" t="inlineStr"/>
    </row>
    <row r="546">
      <c r="A546" s="2" t="inlineStr">
        <is>
          <t>Samsung</t>
        </is>
      </c>
      <c r="B546" s="2" t="inlineStr">
        <is>
          <t>QN1EH</t>
        </is>
      </c>
      <c r="C546" s="2" t="inlineStr">
        <is>
          <t>2026 QN1EH 65 inch 4K Neo QLED Mini LED Samsung Vision AI TV</t>
        </is>
      </c>
      <c r="D546" s="2" t="inlineStr">
        <is>
          <t>QE65QN1EHAUXXU, QE65QN1EHAUXXN, TQ65QN1EHBUXNA, GQ65QN1EHAUXZG, QE65QN1EHAUXZT, TQ65QN1EHAUXXC</t>
        </is>
      </c>
      <c r="E546" s="3" t="n">
        <v>65</v>
      </c>
      <c r="F546" s="3" t="n">
        <v>2026</v>
      </c>
      <c r="G546" s="4" t="n">
        <v>83.2</v>
      </c>
      <c r="H546" s="3" t="n">
        <v>400</v>
      </c>
      <c r="I546" s="3" t="n">
        <v>300</v>
      </c>
      <c r="J546" s="4" t="n"/>
      <c r="K546" s="4">
        <f>IF(ISNUMBER(J546),J546+I546/10,"")</f>
        <v/>
      </c>
      <c r="L546" s="2" t="inlineStr">
        <is>
          <t>estimat</t>
        </is>
      </c>
      <c r="M546" s="2" t="inlineStr"/>
      <c r="N546" s="2" t="inlineStr"/>
    </row>
    <row r="547">
      <c r="A547" s="2" t="inlineStr">
        <is>
          <t>Samsung</t>
        </is>
      </c>
      <c r="B547" s="2" t="inlineStr">
        <is>
          <t>QN1EH</t>
        </is>
      </c>
      <c r="C547" s="2" t="inlineStr">
        <is>
          <t>2026 QN1EH 55 inch 4K Neo QLED Mini LED Samsung Vision AI TV</t>
        </is>
      </c>
      <c r="D547" s="2" t="inlineStr">
        <is>
          <t>QE55QN1EHAUXXU, QE55QN1EHAUXXN, TQ55QN1EHBUXNA, GQ55QN1EHAUXZG, QE55QN1EHAUXZT, TQ55QN1EHAUXXC</t>
        </is>
      </c>
      <c r="E547" s="3" t="n">
        <v>55</v>
      </c>
      <c r="F547" s="3" t="n">
        <v>2026</v>
      </c>
      <c r="G547" s="4" t="n">
        <v>70.90000000000001</v>
      </c>
      <c r="H547" s="3" t="n">
        <v>200</v>
      </c>
      <c r="I547" s="3" t="n">
        <v>200</v>
      </c>
      <c r="J547" s="4" t="n"/>
      <c r="K547" s="4">
        <f>IF(ISNUMBER(J547),J547+I547/10,"")</f>
        <v/>
      </c>
      <c r="L547" s="2" t="inlineStr">
        <is>
          <t>estimat</t>
        </is>
      </c>
      <c r="M547" s="2" t="inlineStr"/>
      <c r="N547" s="2" t="inlineStr"/>
    </row>
    <row r="548">
      <c r="A548" s="2" t="inlineStr">
        <is>
          <t>Samsung</t>
        </is>
      </c>
      <c r="B548" s="2" t="inlineStr">
        <is>
          <t>QN700C</t>
        </is>
      </c>
      <c r="C548" s="2" t="inlineStr">
        <is>
          <t>2023 75 Inch Neo QLED 8K Smart TV QN700C</t>
        </is>
      </c>
      <c r="D548" s="2" t="inlineStr">
        <is>
          <t>QE75QN700CTXXU</t>
        </is>
      </c>
      <c r="E548" s="3" t="n">
        <v>75</v>
      </c>
      <c r="F548" s="3" t="n">
        <v>2023</v>
      </c>
      <c r="G548" s="4" t="n">
        <v>95.59999999999999</v>
      </c>
      <c r="H548" s="3" t="n">
        <v>400</v>
      </c>
      <c r="I548" s="3" t="n">
        <v>400</v>
      </c>
      <c r="J548" s="4" t="n"/>
      <c r="K548" s="4">
        <f>IF(ISNUMBER(J548),J548+I548/10,"")</f>
        <v/>
      </c>
      <c r="L548" s="2" t="inlineStr">
        <is>
          <t>estimat</t>
        </is>
      </c>
      <c r="M548" s="2" t="inlineStr"/>
      <c r="N548" s="2" t="inlineStr"/>
    </row>
    <row r="549">
      <c r="A549" s="2" t="inlineStr">
        <is>
          <t>Samsung</t>
        </is>
      </c>
      <c r="B549" s="2" t="inlineStr">
        <is>
          <t>QN700C</t>
        </is>
      </c>
      <c r="C549" s="2" t="inlineStr">
        <is>
          <t>2023 65 Inch Neo QLED 8K Smart TV QN700C</t>
        </is>
      </c>
      <c r="D549" s="2" t="inlineStr">
        <is>
          <t>QE65QN700CTXXU</t>
        </is>
      </c>
      <c r="E549" s="3" t="n">
        <v>65</v>
      </c>
      <c r="F549" s="3" t="n">
        <v>2023</v>
      </c>
      <c r="G549" s="4" t="n">
        <v>82.8</v>
      </c>
      <c r="H549" s="3" t="n">
        <v>400</v>
      </c>
      <c r="I549" s="3" t="n">
        <v>300</v>
      </c>
      <c r="J549" s="4" t="n"/>
      <c r="K549" s="4">
        <f>IF(ISNUMBER(J549),J549+I549/10,"")</f>
        <v/>
      </c>
      <c r="L549" s="2" t="inlineStr">
        <is>
          <t>estimat</t>
        </is>
      </c>
      <c r="M549" s="2" t="inlineStr"/>
      <c r="N549" s="2" t="inlineStr"/>
    </row>
    <row r="550">
      <c r="A550" s="2" t="inlineStr">
        <is>
          <t>Samsung</t>
        </is>
      </c>
      <c r="B550" s="2" t="inlineStr">
        <is>
          <t>QN700C</t>
        </is>
      </c>
      <c r="C550" s="2" t="inlineStr">
        <is>
          <t>2023 55 Inch Neo QLED 8K Smart TV QN700C</t>
        </is>
      </c>
      <c r="D550" s="2" t="inlineStr">
        <is>
          <t>QE55QN700CTXXU</t>
        </is>
      </c>
      <c r="E550" s="3" t="n">
        <v>55</v>
      </c>
      <c r="F550" s="3" t="n">
        <v>2023</v>
      </c>
      <c r="G550" s="4" t="n">
        <v>70.5</v>
      </c>
      <c r="H550" s="3" t="n">
        <v>400</v>
      </c>
      <c r="I550" s="3" t="n">
        <v>300</v>
      </c>
      <c r="J550" s="4" t="n"/>
      <c r="K550" s="4">
        <f>IF(ISNUMBER(J550),J550+I550/10,"")</f>
        <v/>
      </c>
      <c r="L550" s="2" t="inlineStr">
        <is>
          <t>estimat</t>
        </is>
      </c>
      <c r="M550" s="2" t="inlineStr"/>
      <c r="N550" s="2" t="inlineStr"/>
    </row>
    <row r="551">
      <c r="A551" s="2" t="inlineStr">
        <is>
          <t>Samsung</t>
        </is>
      </c>
      <c r="B551" s="2" t="inlineStr">
        <is>
          <t>QN70F</t>
        </is>
      </c>
      <c r="C551" s="2" t="inlineStr">
        <is>
          <t>2025 QN70F 85 inch 4K Neo QLED Mini LED Vision AI TV</t>
        </is>
      </c>
      <c r="D551" s="2" t="inlineStr">
        <is>
          <t>QE85QN70FAUXXU, QE85QN70FAUXXN, TQ85QN70FAUXXC, GQ85QN70FAUXZG, QE85QN70FAUXZT</t>
        </is>
      </c>
      <c r="E551" s="3" t="n">
        <v>85</v>
      </c>
      <c r="F551" s="3" t="n">
        <v>2025</v>
      </c>
      <c r="G551" s="4" t="n">
        <v>108.7</v>
      </c>
      <c r="H551" s="3" t="n">
        <v>600</v>
      </c>
      <c r="I551" s="3" t="n">
        <v>400</v>
      </c>
      <c r="J551" s="4" t="n"/>
      <c r="K551" s="4">
        <f>IF(ISNUMBER(J551),J551+I551/10,"")</f>
        <v/>
      </c>
      <c r="L551" s="2" t="inlineStr">
        <is>
          <t>estimat</t>
        </is>
      </c>
      <c r="M551" s="2" t="inlineStr"/>
      <c r="N551" s="2" t="inlineStr"/>
    </row>
    <row r="552">
      <c r="A552" s="2" t="inlineStr">
        <is>
          <t>Samsung</t>
        </is>
      </c>
      <c r="B552" s="2" t="inlineStr">
        <is>
          <t>QN70F</t>
        </is>
      </c>
      <c r="C552" s="2" t="inlineStr">
        <is>
          <t>2025 QN70F 75 inch 4K Neo QLED Mini LED Vision AI TV</t>
        </is>
      </c>
      <c r="D552" s="2" t="inlineStr">
        <is>
          <t>QE75QN70FAUXXU, QE75QN70FAUXXN, TQ75QN70FAUXXC, GQ75QN70FAUXZG, QE75QN70FAUXZT</t>
        </is>
      </c>
      <c r="E552" s="3" t="n">
        <v>75</v>
      </c>
      <c r="F552" s="3" t="n">
        <v>2025</v>
      </c>
      <c r="G552" s="4" t="n">
        <v>96.09999999999999</v>
      </c>
      <c r="H552" s="3" t="n">
        <v>400</v>
      </c>
      <c r="I552" s="3" t="n">
        <v>400</v>
      </c>
      <c r="J552" s="4" t="n"/>
      <c r="K552" s="4">
        <f>IF(ISNUMBER(J552),J552+I552/10,"")</f>
        <v/>
      </c>
      <c r="L552" s="2" t="inlineStr">
        <is>
          <t>estimat</t>
        </is>
      </c>
      <c r="M552" s="2" t="inlineStr"/>
      <c r="N552" s="2" t="inlineStr"/>
    </row>
    <row r="553">
      <c r="A553" s="2" t="inlineStr">
        <is>
          <t>Samsung</t>
        </is>
      </c>
      <c r="B553" s="2" t="inlineStr">
        <is>
          <t>QN70F</t>
        </is>
      </c>
      <c r="C553" s="2" t="inlineStr">
        <is>
          <t>2025 QN70F 65 inch 4K Neo QLED Mini LED Vision AI TV</t>
        </is>
      </c>
      <c r="D553" s="2" t="inlineStr">
        <is>
          <t>QE65QN70FAUXXU, QE65QN70FAUXXN, TQ65QN70FAUXXC, GQ65QN70FAUXZG, QE65QN70FAUXZT</t>
        </is>
      </c>
      <c r="E553" s="3" t="n">
        <v>65</v>
      </c>
      <c r="F553" s="3" t="n">
        <v>2025</v>
      </c>
      <c r="G553" s="4" t="n">
        <v>83.2</v>
      </c>
      <c r="H553" s="3" t="n">
        <v>400</v>
      </c>
      <c r="I553" s="3" t="n">
        <v>300</v>
      </c>
      <c r="J553" s="4" t="n">
        <v>26.5</v>
      </c>
      <c r="K553" s="4">
        <f>IF(ISNUMBER(J553),J553+I553/10,"")</f>
        <v/>
      </c>
      <c r="L553" s="2" t="inlineStr">
        <is>
          <t>billedmålt</t>
        </is>
      </c>
      <c r="M553" s="2" t="inlineStr">
        <is>
          <t>Which?</t>
        </is>
      </c>
      <c r="N553" s="2" t="inlineStr">
        <is>
          <t>Billedmålt på Which?-foto (samsung-qe65qn70fauxxu): nederste VESA-hul 26,5 cm fra underkant, målt ud fra VESA 400×300 som skala. Usikkerhed ca. ±1 cm.</t>
        </is>
      </c>
    </row>
    <row r="554">
      <c r="A554" s="2" t="inlineStr">
        <is>
          <t>Samsung</t>
        </is>
      </c>
      <c r="B554" s="2" t="inlineStr">
        <is>
          <t>QN70F</t>
        </is>
      </c>
      <c r="C554" s="2" t="inlineStr">
        <is>
          <t>2025 QN70F 55 inch 4K Neo QLED Mini LED Vision AI TV</t>
        </is>
      </c>
      <c r="D554" s="2" t="inlineStr">
        <is>
          <t>QE55QN70FAUXXU, QE55QN70FAUXXN, TQ55QN70FAUXXC, GQ55QN70FAUXZG, QE55QN70FAUXZT</t>
        </is>
      </c>
      <c r="E554" s="3" t="n">
        <v>55</v>
      </c>
      <c r="F554" s="3" t="n">
        <v>2025</v>
      </c>
      <c r="G554" s="4" t="n">
        <v>70.90000000000001</v>
      </c>
      <c r="H554" s="3" t="n">
        <v>200</v>
      </c>
      <c r="I554" s="3" t="n">
        <v>200</v>
      </c>
      <c r="J554" s="4" t="n">
        <v>23.8</v>
      </c>
      <c r="K554" s="4">
        <f>IF(ISNUMBER(J554),J554+I554/10,"")</f>
        <v/>
      </c>
      <c r="L554" s="2" t="inlineStr">
        <is>
          <t>billedmålt</t>
        </is>
      </c>
      <c r="M554" s="2" t="inlineStr">
        <is>
          <t>Which?</t>
        </is>
      </c>
      <c r="N554" s="2" t="inlineStr">
        <is>
          <t>Billedmålt på Which?-foto (samsung-qe55qn70fauxxu): nederste VESA-hul 23,8 cm fra underkant, målt ud fra VESA 200×200 som skala. Usikkerhed ca. ±1 cm.</t>
        </is>
      </c>
    </row>
    <row r="555">
      <c r="A555" s="2" t="inlineStr">
        <is>
          <t>Samsung</t>
        </is>
      </c>
      <c r="B555" s="2" t="inlineStr">
        <is>
          <t>QN70H</t>
        </is>
      </c>
      <c r="C555" s="2" t="inlineStr">
        <is>
          <t>2026 QN73H 85 inch 4K Neo QLED Mini LED Samsung Vision AI TV</t>
        </is>
      </c>
      <c r="D555" s="2" t="inlineStr">
        <is>
          <t>QE85QN70HAUXXU, QE85QN73HAUXXU, QE85QN73HAUXXN, QE85QN70HAUXXN, TQ85QN73HBUXNA, GQ85QN70HAUXZG, TQ85QN70HAUXXC, QE85QN70HAUXZT, TQ85QN73HAUXXC</t>
        </is>
      </c>
      <c r="E555" s="3" t="n">
        <v>85</v>
      </c>
      <c r="F555" s="3" t="n">
        <v>2026</v>
      </c>
      <c r="G555" s="4" t="n">
        <v>108.6</v>
      </c>
      <c r="H555" s="3" t="n">
        <v>600</v>
      </c>
      <c r="I555" s="3" t="n">
        <v>400</v>
      </c>
      <c r="J555" s="4" t="n"/>
      <c r="K555" s="4">
        <f>IF(ISNUMBER(J555),J555+I555/10,"")</f>
        <v/>
      </c>
      <c r="L555" s="2" t="inlineStr">
        <is>
          <t>estimat</t>
        </is>
      </c>
      <c r="M555" s="2" t="inlineStr"/>
      <c r="N555" s="2" t="inlineStr"/>
    </row>
    <row r="556">
      <c r="A556" s="2" t="inlineStr">
        <is>
          <t>Samsung</t>
        </is>
      </c>
      <c r="B556" s="2" t="inlineStr">
        <is>
          <t>QN70H</t>
        </is>
      </c>
      <c r="C556" s="2" t="inlineStr">
        <is>
          <t>2026 QN73H 75 inch 4K Neo QLED Mini LED Samsung Vision AI TV</t>
        </is>
      </c>
      <c r="D556" s="2" t="inlineStr">
        <is>
          <t>QE75QN70HAUXXU, QE75QN73HAUXXU, QE75QN73HAUXXN, QE75QN70HAUXXN, TQ75QN73HBUXNA, GQ75QN70HAUXZG, TQ75QN70HAUXXC, QE75QN70HAUXZT, TQ75QN73HAUXXC</t>
        </is>
      </c>
      <c r="E556" s="3" t="n">
        <v>75</v>
      </c>
      <c r="F556" s="3" t="n">
        <v>2026</v>
      </c>
      <c r="G556" s="4" t="n">
        <v>96</v>
      </c>
      <c r="H556" s="3" t="n">
        <v>400</v>
      </c>
      <c r="I556" s="3" t="n">
        <v>400</v>
      </c>
      <c r="J556" s="4" t="n"/>
      <c r="K556" s="4">
        <f>IF(ISNUMBER(J556),J556+I556/10,"")</f>
        <v/>
      </c>
      <c r="L556" s="2" t="inlineStr">
        <is>
          <t>estimat</t>
        </is>
      </c>
      <c r="M556" s="2" t="inlineStr"/>
      <c r="N556" s="2" t="inlineStr"/>
    </row>
    <row r="557">
      <c r="A557" s="2" t="inlineStr">
        <is>
          <t>Samsung</t>
        </is>
      </c>
      <c r="B557" s="2" t="inlineStr">
        <is>
          <t>QN70H</t>
        </is>
      </c>
      <c r="C557" s="2" t="inlineStr">
        <is>
          <t>2026 QN73H 65 inch 4K Neo QLED Mini LED Samsung Vision AI TV</t>
        </is>
      </c>
      <c r="D557" s="2" t="inlineStr">
        <is>
          <t>QE65QN70HAUXXU, QE65QN73HAUXXU, QE65QN73HAUXXN, QE65QN70HAUXXN, TQ65QN73HBUXNA, GQ65QN70HAUXZG, TQ65QN70HAUXXC, QE65QN70HAUXZT, TQ65QN73HAUXXC</t>
        </is>
      </c>
      <c r="E557" s="3" t="n">
        <v>65</v>
      </c>
      <c r="F557" s="3" t="n">
        <v>2026</v>
      </c>
      <c r="G557" s="4" t="n">
        <v>83.2</v>
      </c>
      <c r="H557" s="3" t="n">
        <v>400</v>
      </c>
      <c r="I557" s="3" t="n">
        <v>300</v>
      </c>
      <c r="J557" s="4" t="n">
        <v>26.4</v>
      </c>
      <c r="K557" s="4">
        <f>IF(ISNUMBER(J557),J557+I557/10,"")</f>
        <v/>
      </c>
      <c r="L557" s="2" t="inlineStr">
        <is>
          <t>billedmålt</t>
        </is>
      </c>
      <c r="M557" s="2" t="inlineStr">
        <is>
          <t>Which?</t>
        </is>
      </c>
      <c r="N557" s="2" t="inlineStr">
        <is>
          <t>Billedmålt på Which?-foto: nederste VESA-hul 26,4 cm fra underkant, målt ud fra VESA 400×300 som skala. Usikkerhed ca. ±1 cm.</t>
        </is>
      </c>
    </row>
    <row r="558">
      <c r="A558" s="2" t="inlineStr">
        <is>
          <t>Samsung</t>
        </is>
      </c>
      <c r="B558" s="2" t="inlineStr">
        <is>
          <t>QN70H</t>
        </is>
      </c>
      <c r="C558" s="2" t="inlineStr">
        <is>
          <t>2026 QN73H 55 inch 4K Neo QLED Mini LED Samsung Vision AI TV</t>
        </is>
      </c>
      <c r="D558" s="2" t="inlineStr">
        <is>
          <t>QE55QN70HAUXXU, QE55QN73HAUXXU, QE55QN73HAUXXN, QE55QN70HAUXXN, TQ55QN73HBUXNA, GQ55QN70HAUXZG, TQ55QN70HAUXXC, QE55QN70HAUXZT, TQ55QN73HAUXXC</t>
        </is>
      </c>
      <c r="E558" s="3" t="n">
        <v>55</v>
      </c>
      <c r="F558" s="3" t="n">
        <v>2026</v>
      </c>
      <c r="G558" s="4" t="n">
        <v>70.90000000000001</v>
      </c>
      <c r="H558" s="3" t="n">
        <v>200</v>
      </c>
      <c r="I558" s="3" t="n">
        <v>200</v>
      </c>
      <c r="J558" s="4" t="n"/>
      <c r="K558" s="4">
        <f>IF(ISNUMBER(J558),J558+I558/10,"")</f>
        <v/>
      </c>
      <c r="L558" s="2" t="inlineStr">
        <is>
          <t>estimat</t>
        </is>
      </c>
      <c r="M558" s="2" t="inlineStr"/>
      <c r="N558" s="2" t="inlineStr"/>
    </row>
    <row r="559">
      <c r="A559" s="2" t="inlineStr">
        <is>
          <t>Samsung</t>
        </is>
      </c>
      <c r="B559" s="2" t="inlineStr">
        <is>
          <t>QN70H</t>
        </is>
      </c>
      <c r="C559" s="2" t="inlineStr">
        <is>
          <t>2026 QN73H 50 inch 4K Neo QLED Mini LED Samsung Vision AI TV</t>
        </is>
      </c>
      <c r="D559" s="2" t="inlineStr">
        <is>
          <t>QE50QN70HAUXXU, QE50QN73HAUXXU, QE50QN73HAUXXN, QE50QN70HAUXXN, TQ50QN73HBUXNA, GQ50QN70HAUXZG, TQ50QN70HAUXXC, QE50QN70HAUXZT, TQ50QN73HAUXXC</t>
        </is>
      </c>
      <c r="E559" s="3" t="n">
        <v>50</v>
      </c>
      <c r="F559" s="3" t="n">
        <v>2026</v>
      </c>
      <c r="G559" s="4" t="n">
        <v>64.40000000000001</v>
      </c>
      <c r="H559" s="3" t="n">
        <v>200</v>
      </c>
      <c r="I559" s="3" t="n">
        <v>200</v>
      </c>
      <c r="J559" s="4" t="n">
        <v>23.4</v>
      </c>
      <c r="K559" s="4">
        <f>IF(ISNUMBER(J559),J559+I559/10,"")</f>
        <v/>
      </c>
      <c r="L559" s="2" t="inlineStr">
        <is>
          <t>billedmålt</t>
        </is>
      </c>
      <c r="M559" s="2" t="inlineStr">
        <is>
          <t>Which?</t>
        </is>
      </c>
      <c r="N559" s="2" t="inlineStr">
        <is>
          <t>Billedmålt på Which?-foto: nederste VESA-hul 23,4 cm fra underkant, målt ud fra VESA 200×200 som skala. Usikkerhed ca. ±1 cm.</t>
        </is>
      </c>
    </row>
    <row r="560">
      <c r="A560" s="2" t="inlineStr">
        <is>
          <t>Samsung</t>
        </is>
      </c>
      <c r="B560" s="2" t="inlineStr">
        <is>
          <t>QN70H</t>
        </is>
      </c>
      <c r="C560" s="2" t="inlineStr">
        <is>
          <t>2026 QN73H 43 inch 4K Neo QLED Mini LED Samsung Vision AI TV</t>
        </is>
      </c>
      <c r="D560" s="2" t="inlineStr">
        <is>
          <t>QE43QN70HAUXXU, QE43QN73HAUXXU, QE43QN73HAUXXN, QE43QN70HAUXXN, TQ43QN73HBUXNA, GQ43QN70HAUXZG, TQ43QN70HAUXXC, QE43QN70HAUXZT, TQ43QN73HAUXXC</t>
        </is>
      </c>
      <c r="E560" s="3" t="n">
        <v>43</v>
      </c>
      <c r="F560" s="3" t="n">
        <v>2026</v>
      </c>
      <c r="G560" s="4" t="n">
        <v>55.9</v>
      </c>
      <c r="H560" s="3" t="n">
        <v>200</v>
      </c>
      <c r="I560" s="3" t="n">
        <v>200</v>
      </c>
      <c r="J560" s="4" t="n"/>
      <c r="K560" s="4">
        <f>IF(ISNUMBER(J560),J560+I560/10,"")</f>
        <v/>
      </c>
      <c r="L560" s="2" t="inlineStr">
        <is>
          <t>estimat</t>
        </is>
      </c>
      <c r="M560" s="2" t="inlineStr"/>
      <c r="N560" s="2" t="inlineStr"/>
    </row>
    <row r="561">
      <c r="A561" s="2" t="inlineStr">
        <is>
          <t>Samsung</t>
        </is>
      </c>
      <c r="B561" s="2" t="inlineStr">
        <is>
          <t>QN71H</t>
        </is>
      </c>
      <c r="C561" s="2" t="inlineStr">
        <is>
          <t>65" Neo QLED QN71H 4K Samsung Vision AI Smart TV (2026)</t>
        </is>
      </c>
      <c r="D561" s="2" t="inlineStr">
        <is>
          <t>GQ65QN71HAUXZG</t>
        </is>
      </c>
      <c r="E561" s="3" t="n">
        <v>65</v>
      </c>
      <c r="F561" s="3" t="n">
        <v>2026</v>
      </c>
      <c r="G561" s="4" t="n">
        <v>83.2</v>
      </c>
      <c r="H561" s="3" t="n">
        <v>400</v>
      </c>
      <c r="I561" s="3" t="n">
        <v>300</v>
      </c>
      <c r="J561" s="4" t="n"/>
      <c r="K561" s="4">
        <f>IF(ISNUMBER(J561),J561+I561/10,"")</f>
        <v/>
      </c>
      <c r="L561" s="2" t="inlineStr">
        <is>
          <t>estimat</t>
        </is>
      </c>
      <c r="M561" s="2" t="inlineStr"/>
      <c r="N561" s="2" t="inlineStr"/>
    </row>
    <row r="562">
      <c r="A562" s="2" t="inlineStr">
        <is>
          <t>Samsung</t>
        </is>
      </c>
      <c r="B562" s="2" t="inlineStr">
        <is>
          <t>QN71H</t>
        </is>
      </c>
      <c r="C562" s="2" t="inlineStr">
        <is>
          <t>55" Neo QLED QN71H 4K Samsung Vision AI Smart TV (2026)</t>
        </is>
      </c>
      <c r="D562" s="2" t="inlineStr">
        <is>
          <t>GQ55QN71HAUXZG</t>
        </is>
      </c>
      <c r="E562" s="3" t="n">
        <v>55</v>
      </c>
      <c r="F562" s="3" t="n">
        <v>2026</v>
      </c>
      <c r="G562" s="4" t="n">
        <v>70.90000000000001</v>
      </c>
      <c r="H562" s="3" t="n">
        <v>200</v>
      </c>
      <c r="I562" s="3" t="n">
        <v>200</v>
      </c>
      <c r="J562" s="4" t="n"/>
      <c r="K562" s="4">
        <f>IF(ISNUMBER(J562),J562+I562/10,"")</f>
        <v/>
      </c>
      <c r="L562" s="2" t="inlineStr">
        <is>
          <t>estimat</t>
        </is>
      </c>
      <c r="M562" s="2" t="inlineStr"/>
      <c r="N562" s="2" t="inlineStr"/>
    </row>
    <row r="563">
      <c r="A563" s="2" t="inlineStr">
        <is>
          <t>Samsung</t>
        </is>
      </c>
      <c r="B563" s="2" t="inlineStr">
        <is>
          <t>QN71H</t>
        </is>
      </c>
      <c r="C563" s="2" t="inlineStr">
        <is>
          <t>50" Neo QLED QN71H 4K Samsung Vision AI Smart TV (2026)</t>
        </is>
      </c>
      <c r="D563" s="2" t="inlineStr">
        <is>
          <t>GQ50QN71HAUXZG</t>
        </is>
      </c>
      <c r="E563" s="3" t="n">
        <v>50</v>
      </c>
      <c r="F563" s="3" t="n">
        <v>2026</v>
      </c>
      <c r="G563" s="4" t="n">
        <v>64.40000000000001</v>
      </c>
      <c r="H563" s="3" t="n">
        <v>200</v>
      </c>
      <c r="I563" s="3" t="n">
        <v>200</v>
      </c>
      <c r="J563" s="4" t="n"/>
      <c r="K563" s="4">
        <f>IF(ISNUMBER(J563),J563+I563/10,"")</f>
        <v/>
      </c>
      <c r="L563" s="2" t="inlineStr">
        <is>
          <t>estimat</t>
        </is>
      </c>
      <c r="M563" s="2" t="inlineStr"/>
      <c r="N563" s="2" t="inlineStr"/>
    </row>
    <row r="564">
      <c r="A564" s="2" t="inlineStr">
        <is>
          <t>Samsung</t>
        </is>
      </c>
      <c r="B564" s="2" t="inlineStr">
        <is>
          <t>QN71H</t>
        </is>
      </c>
      <c r="C564" s="2" t="inlineStr">
        <is>
          <t>43" Neo QLED QN71H 4K Samsung Vision AI Smart TV (2026)</t>
        </is>
      </c>
      <c r="D564" s="2" t="inlineStr">
        <is>
          <t>GQ43QN71HAUXZG</t>
        </is>
      </c>
      <c r="E564" s="3" t="n">
        <v>43</v>
      </c>
      <c r="F564" s="3" t="n">
        <v>2026</v>
      </c>
      <c r="G564" s="4" t="n">
        <v>55.9</v>
      </c>
      <c r="H564" s="3" t="n">
        <v>200</v>
      </c>
      <c r="I564" s="3" t="n">
        <v>200</v>
      </c>
      <c r="J564" s="4" t="n"/>
      <c r="K564" s="4">
        <f>IF(ISNUMBER(J564),J564+I564/10,"")</f>
        <v/>
      </c>
      <c r="L564" s="2" t="inlineStr">
        <is>
          <t>estimat</t>
        </is>
      </c>
      <c r="M564" s="2" t="inlineStr"/>
      <c r="N564" s="2" t="inlineStr"/>
    </row>
    <row r="565">
      <c r="A565" s="2" t="inlineStr">
        <is>
          <t>Samsung</t>
        </is>
      </c>
      <c r="B565" s="2" t="inlineStr">
        <is>
          <t>QN72H</t>
        </is>
      </c>
      <c r="C565" s="2" t="inlineStr">
        <is>
          <t>65" Neo QLED QN72H 4K Vision AI Smart TV (2026)</t>
        </is>
      </c>
      <c r="D565" s="2" t="inlineStr">
        <is>
          <t>QE65QN72HAUXXN, TQ65QN72HBUXNA, QE65QN72HAUXZT</t>
        </is>
      </c>
      <c r="E565" s="3" t="n">
        <v>65</v>
      </c>
      <c r="F565" s="3" t="n">
        <v>2026</v>
      </c>
      <c r="G565" s="4" t="n">
        <v>83.2</v>
      </c>
      <c r="H565" s="3" t="n">
        <v>400</v>
      </c>
      <c r="I565" s="3" t="n">
        <v>300</v>
      </c>
      <c r="J565" s="4" t="n"/>
      <c r="K565" s="4">
        <f>IF(ISNUMBER(J565),J565+I565/10,"")</f>
        <v/>
      </c>
      <c r="L565" s="2" t="inlineStr">
        <is>
          <t>estimat</t>
        </is>
      </c>
      <c r="M565" s="2" t="inlineStr"/>
      <c r="N565" s="2" t="inlineStr"/>
    </row>
    <row r="566">
      <c r="A566" s="2" t="inlineStr">
        <is>
          <t>Samsung</t>
        </is>
      </c>
      <c r="B566" s="2" t="inlineStr">
        <is>
          <t>QN72H</t>
        </is>
      </c>
      <c r="C566" s="2" t="inlineStr">
        <is>
          <t>55" Neo QLED QN72H 4K Vision AI Smart TV (2026)</t>
        </is>
      </c>
      <c r="D566" s="2" t="inlineStr">
        <is>
          <t>QE55QN72HAUXXN, TQ55QN72HBUXNA, QE55QN72HAUXZT</t>
        </is>
      </c>
      <c r="E566" s="3" t="n">
        <v>55</v>
      </c>
      <c r="F566" s="3" t="n">
        <v>2026</v>
      </c>
      <c r="G566" s="4" t="n">
        <v>70.90000000000001</v>
      </c>
      <c r="H566" s="3" t="n">
        <v>200</v>
      </c>
      <c r="I566" s="3" t="n">
        <v>200</v>
      </c>
      <c r="J566" s="4" t="n"/>
      <c r="K566" s="4">
        <f>IF(ISNUMBER(J566),J566+I566/10,"")</f>
        <v/>
      </c>
      <c r="L566" s="2" t="inlineStr">
        <is>
          <t>estimat</t>
        </is>
      </c>
      <c r="M566" s="2" t="inlineStr"/>
      <c r="N566" s="2" t="inlineStr"/>
    </row>
    <row r="567">
      <c r="A567" s="2" t="inlineStr">
        <is>
          <t>Samsung</t>
        </is>
      </c>
      <c r="B567" s="2" t="inlineStr">
        <is>
          <t>QN72H</t>
        </is>
      </c>
      <c r="C567" s="2" t="inlineStr">
        <is>
          <t>50" Neo QLED QN72H 4K Vision AI Smart TV (2026)</t>
        </is>
      </c>
      <c r="D567" s="2" t="inlineStr">
        <is>
          <t>QE50QN72HAUXXN, TQ50QN72HBUXNA, QE50QN72HAUXZT</t>
        </is>
      </c>
      <c r="E567" s="3" t="n">
        <v>50</v>
      </c>
      <c r="F567" s="3" t="n">
        <v>2026</v>
      </c>
      <c r="G567" s="4" t="n">
        <v>64.40000000000001</v>
      </c>
      <c r="H567" s="3" t="n">
        <v>200</v>
      </c>
      <c r="I567" s="3" t="n">
        <v>200</v>
      </c>
      <c r="J567" s="4" t="n"/>
      <c r="K567" s="4">
        <f>IF(ISNUMBER(J567),J567+I567/10,"")</f>
        <v/>
      </c>
      <c r="L567" s="2" t="inlineStr">
        <is>
          <t>estimat</t>
        </is>
      </c>
      <c r="M567" s="2" t="inlineStr"/>
      <c r="N567" s="2" t="inlineStr"/>
    </row>
    <row r="568">
      <c r="A568" s="2" t="inlineStr">
        <is>
          <t>Samsung</t>
        </is>
      </c>
      <c r="B568" s="2" t="inlineStr">
        <is>
          <t>QN72H</t>
        </is>
      </c>
      <c r="C568" s="2" t="inlineStr">
        <is>
          <t>43" Neo QLED QN72H 4K Vision AI Smart TV (2026)</t>
        </is>
      </c>
      <c r="D568" s="2" t="inlineStr">
        <is>
          <t>QE43QN72HAUXXN, TQ43QN72HBUXNA, QE43QN72HAUXZT</t>
        </is>
      </c>
      <c r="E568" s="3" t="n">
        <v>43</v>
      </c>
      <c r="F568" s="3" t="n">
        <v>2026</v>
      </c>
      <c r="G568" s="4" t="n">
        <v>55.9</v>
      </c>
      <c r="H568" s="3" t="n">
        <v>200</v>
      </c>
      <c r="I568" s="3" t="n">
        <v>200</v>
      </c>
      <c r="J568" s="4" t="n"/>
      <c r="K568" s="4">
        <f>IF(ISNUMBER(J568),J568+I568/10,"")</f>
        <v/>
      </c>
      <c r="L568" s="2" t="inlineStr">
        <is>
          <t>estimat</t>
        </is>
      </c>
      <c r="M568" s="2" t="inlineStr"/>
      <c r="N568" s="2" t="inlineStr"/>
    </row>
    <row r="569">
      <c r="A569" s="2" t="inlineStr">
        <is>
          <t>Samsung</t>
        </is>
      </c>
      <c r="B569" s="2" t="inlineStr">
        <is>
          <t>QN73F</t>
        </is>
      </c>
      <c r="C569" s="2" t="inlineStr">
        <is>
          <t>2025 QN73F 85 inch 4K Neo QLED Mini LED Vision AI TV</t>
        </is>
      </c>
      <c r="D569" s="2" t="inlineStr">
        <is>
          <t>QE85QN73FATXXU, QE85QN73FATXXN, TQ85QN73FBUXXC, GQ85QN73FATXZG, TQ85QN73FATXXC</t>
        </is>
      </c>
      <c r="E569" s="3" t="n">
        <v>85</v>
      </c>
      <c r="F569" s="3" t="n">
        <v>2025</v>
      </c>
      <c r="G569" s="4" t="n">
        <v>108.7</v>
      </c>
      <c r="H569" s="3" t="n">
        <v>600</v>
      </c>
      <c r="I569" s="3" t="n">
        <v>400</v>
      </c>
      <c r="J569" s="4" t="n"/>
      <c r="K569" s="4">
        <f>IF(ISNUMBER(J569),J569+I569/10,"")</f>
        <v/>
      </c>
      <c r="L569" s="2" t="inlineStr">
        <is>
          <t>estimat</t>
        </is>
      </c>
      <c r="M569" s="2" t="inlineStr"/>
      <c r="N569" s="2" t="inlineStr"/>
    </row>
    <row r="570">
      <c r="A570" s="2" t="inlineStr">
        <is>
          <t>Samsung</t>
        </is>
      </c>
      <c r="B570" s="2" t="inlineStr">
        <is>
          <t>QN73F</t>
        </is>
      </c>
      <c r="C570" s="2" t="inlineStr">
        <is>
          <t>2025 QN73F 75 inch 4K Neo QLED Mini LED Vision AI TV</t>
        </is>
      </c>
      <c r="D570" s="2" t="inlineStr">
        <is>
          <t>QE75QN73FATXXU, QE75QN73FATXXN, TQ75QN73FBUXXC, GQ75QN73FATXZG, TQ75QN73FATXXC</t>
        </is>
      </c>
      <c r="E570" s="3" t="n">
        <v>75</v>
      </c>
      <c r="F570" s="3" t="n">
        <v>2025</v>
      </c>
      <c r="G570" s="4" t="n">
        <v>96.09999999999999</v>
      </c>
      <c r="H570" s="3" t="n">
        <v>400</v>
      </c>
      <c r="I570" s="3" t="n">
        <v>400</v>
      </c>
      <c r="J570" s="4" t="n"/>
      <c r="K570" s="4">
        <f>IF(ISNUMBER(J570),J570+I570/10,"")</f>
        <v/>
      </c>
      <c r="L570" s="2" t="inlineStr">
        <is>
          <t>estimat</t>
        </is>
      </c>
      <c r="M570" s="2" t="inlineStr"/>
      <c r="N570" s="2" t="inlineStr"/>
    </row>
    <row r="571">
      <c r="A571" s="2" t="inlineStr">
        <is>
          <t>Samsung</t>
        </is>
      </c>
      <c r="B571" s="2" t="inlineStr">
        <is>
          <t>QN73F</t>
        </is>
      </c>
      <c r="C571" s="2" t="inlineStr">
        <is>
          <t>2025 QN73F 65 inch 4K Neo QLED Mini LED Vision AI TV</t>
        </is>
      </c>
      <c r="D571" s="2" t="inlineStr">
        <is>
          <t>QE65QN73FATXXU, QE65QN73FATXXN, TQ65QN73FBUXXC, GQ65QN73FATXZG, TQ65QN73FATXXC</t>
        </is>
      </c>
      <c r="E571" s="3" t="n">
        <v>65</v>
      </c>
      <c r="F571" s="3" t="n">
        <v>2025</v>
      </c>
      <c r="G571" s="4" t="n">
        <v>83.2</v>
      </c>
      <c r="H571" s="3" t="n">
        <v>400</v>
      </c>
      <c r="I571" s="3" t="n">
        <v>300</v>
      </c>
      <c r="J571" s="4" t="n">
        <v>26.5</v>
      </c>
      <c r="K571" s="4">
        <f>IF(ISNUMBER(J571),J571+I571/10,"")</f>
        <v/>
      </c>
      <c r="L571" s="2" t="inlineStr">
        <is>
          <t>billedmålt</t>
        </is>
      </c>
      <c r="M571" s="2" t="inlineStr">
        <is>
          <t>Which?</t>
        </is>
      </c>
      <c r="N571" s="2" t="inlineStr">
        <is>
          <t>Billedmålt på Which?-foto (samsung-qe65qn73fatxxu): nederste VESA-hul 26,5 cm fra underkant, målt ud fra VESA 400×300 som skala. Usikkerhed ca. ±1 cm.</t>
        </is>
      </c>
    </row>
    <row r="572">
      <c r="A572" s="2" t="inlineStr">
        <is>
          <t>Samsung</t>
        </is>
      </c>
      <c r="B572" s="2" t="inlineStr">
        <is>
          <t>QN73F</t>
        </is>
      </c>
      <c r="C572" s="2" t="inlineStr">
        <is>
          <t>2025 QN73F 55 inch 4K Neo QLED Mini LED Vision AI TV</t>
        </is>
      </c>
      <c r="D572" s="2" t="inlineStr">
        <is>
          <t>QE55QN73FATXXU, QE55QN73FATXXN, TQ55QN73FBUXXC, GQ55QN73FATXZG, TQ55QN73FATXXC</t>
        </is>
      </c>
      <c r="E572" s="3" t="n">
        <v>55</v>
      </c>
      <c r="F572" s="3" t="n">
        <v>2025</v>
      </c>
      <c r="G572" s="4" t="n">
        <v>70.90000000000001</v>
      </c>
      <c r="H572" s="3" t="n">
        <v>200</v>
      </c>
      <c r="I572" s="3" t="n">
        <v>200</v>
      </c>
      <c r="J572" s="4" t="n">
        <v>23.9</v>
      </c>
      <c r="K572" s="4">
        <f>IF(ISNUMBER(J572),J572+I572/10,"")</f>
        <v/>
      </c>
      <c r="L572" s="2" t="inlineStr">
        <is>
          <t>billedmålt</t>
        </is>
      </c>
      <c r="M572" s="2" t="inlineStr">
        <is>
          <t>Which?</t>
        </is>
      </c>
      <c r="N572" s="2" t="inlineStr">
        <is>
          <t>Billedmålt på Which?-foto (samsung-qe55qn73fatxxu): nederste VESA-hul 23,9 cm fra underkant, målt ud fra VESA 200×200 som skala. Usikkerhed ca. ±1 cm.</t>
        </is>
      </c>
    </row>
    <row r="573">
      <c r="A573" s="2" t="inlineStr">
        <is>
          <t>Samsung</t>
        </is>
      </c>
      <c r="B573" s="2" t="inlineStr">
        <is>
          <t>QN74H</t>
        </is>
      </c>
      <c r="C573" s="2" t="inlineStr">
        <is>
          <t>65" Neo QLED 4K Vision AI Smart TV QN74H (2026)</t>
        </is>
      </c>
      <c r="D573" s="2" t="inlineStr">
        <is>
          <t>QE65QN74HAUXXN</t>
        </is>
      </c>
      <c r="E573" s="3" t="n">
        <v>65</v>
      </c>
      <c r="F573" s="3" t="n">
        <v>2026</v>
      </c>
      <c r="G573" s="4" t="n">
        <v>83.2</v>
      </c>
      <c r="H573" s="3" t="n">
        <v>400</v>
      </c>
      <c r="I573" s="3" t="n">
        <v>300</v>
      </c>
      <c r="J573" s="4" t="n"/>
      <c r="K573" s="4">
        <f>IF(ISNUMBER(J573),J573+I573/10,"")</f>
        <v/>
      </c>
      <c r="L573" s="2" t="inlineStr">
        <is>
          <t>estimat</t>
        </is>
      </c>
      <c r="M573" s="2" t="inlineStr"/>
      <c r="N573" s="2" t="inlineStr"/>
    </row>
    <row r="574">
      <c r="A574" s="2" t="inlineStr">
        <is>
          <t>Samsung</t>
        </is>
      </c>
      <c r="B574" s="2" t="inlineStr">
        <is>
          <t>QN74H</t>
        </is>
      </c>
      <c r="C574" s="2" t="inlineStr">
        <is>
          <t>55" Neo QLED 4K Vision AI Smart TV QN74H (2026)</t>
        </is>
      </c>
      <c r="D574" s="2" t="inlineStr">
        <is>
          <t>QE55QN74HAUXXN</t>
        </is>
      </c>
      <c r="E574" s="3" t="n">
        <v>55</v>
      </c>
      <c r="F574" s="3" t="n">
        <v>2026</v>
      </c>
      <c r="G574" s="4" t="n">
        <v>70.90000000000001</v>
      </c>
      <c r="H574" s="3" t="n">
        <v>200</v>
      </c>
      <c r="I574" s="3" t="n">
        <v>200</v>
      </c>
      <c r="J574" s="4" t="n"/>
      <c r="K574" s="4">
        <f>IF(ISNUMBER(J574),J574+I574/10,"")</f>
        <v/>
      </c>
      <c r="L574" s="2" t="inlineStr">
        <is>
          <t>estimat</t>
        </is>
      </c>
      <c r="M574" s="2" t="inlineStr"/>
      <c r="N574" s="2" t="inlineStr"/>
    </row>
    <row r="575">
      <c r="A575" s="2" t="inlineStr">
        <is>
          <t>Samsung</t>
        </is>
      </c>
      <c r="B575" s="2" t="inlineStr">
        <is>
          <t>QN74H</t>
        </is>
      </c>
      <c r="C575" s="2" t="inlineStr">
        <is>
          <t>50" Neo QLED 4K Vision AI Smart TV QN74H (2026)</t>
        </is>
      </c>
      <c r="D575" s="2" t="inlineStr">
        <is>
          <t>QE50QN74HAUXXN</t>
        </is>
      </c>
      <c r="E575" s="3" t="n">
        <v>50</v>
      </c>
      <c r="F575" s="3" t="n">
        <v>2026</v>
      </c>
      <c r="G575" s="4" t="n">
        <v>64.40000000000001</v>
      </c>
      <c r="H575" s="3" t="n">
        <v>200</v>
      </c>
      <c r="I575" s="3" t="n">
        <v>200</v>
      </c>
      <c r="J575" s="4" t="n"/>
      <c r="K575" s="4">
        <f>IF(ISNUMBER(J575),J575+I575/10,"")</f>
        <v/>
      </c>
      <c r="L575" s="2" t="inlineStr">
        <is>
          <t>estimat</t>
        </is>
      </c>
      <c r="M575" s="2" t="inlineStr"/>
      <c r="N575" s="2" t="inlineStr"/>
    </row>
    <row r="576">
      <c r="A576" s="2" t="inlineStr">
        <is>
          <t>Samsung</t>
        </is>
      </c>
      <c r="B576" s="2" t="inlineStr">
        <is>
          <t>QN74H</t>
        </is>
      </c>
      <c r="C576" s="2" t="inlineStr">
        <is>
          <t>43" Neo QLED 4K Vision AI Smart TV QN74H (2026)</t>
        </is>
      </c>
      <c r="D576" s="2" t="inlineStr">
        <is>
          <t>QE43QN74HAUXXN</t>
        </is>
      </c>
      <c r="E576" s="3" t="n">
        <v>43</v>
      </c>
      <c r="F576" s="3" t="n">
        <v>2026</v>
      </c>
      <c r="G576" s="4" t="n">
        <v>55.9</v>
      </c>
      <c r="H576" s="3" t="n">
        <v>200</v>
      </c>
      <c r="I576" s="3" t="n">
        <v>200</v>
      </c>
      <c r="J576" s="4" t="n"/>
      <c r="K576" s="4">
        <f>IF(ISNUMBER(J576),J576+I576/10,"")</f>
        <v/>
      </c>
      <c r="L576" s="2" t="inlineStr">
        <is>
          <t>estimat</t>
        </is>
      </c>
      <c r="M576" s="2" t="inlineStr"/>
      <c r="N576" s="2" t="inlineStr"/>
    </row>
    <row r="577">
      <c r="A577" s="2" t="inlineStr">
        <is>
          <t>Samsung</t>
        </is>
      </c>
      <c r="B577" s="2" t="inlineStr">
        <is>
          <t>QN800D</t>
        </is>
      </c>
      <c r="C577" s="2" t="inlineStr">
        <is>
          <t>QN800D 85 Inch 2024 Neo QLED 8K Mini LED AI TV</t>
        </is>
      </c>
      <c r="D577" s="2" t="inlineStr">
        <is>
          <t>QE85QN800DTXXU, TQ85QN800DTXXC, GQ85QN800DTXZG, QE85QN800DTXZT</t>
        </is>
      </c>
      <c r="E577" s="3" t="n">
        <v>85</v>
      </c>
      <c r="F577" s="3" t="n">
        <v>2024</v>
      </c>
      <c r="G577" s="4" t="n">
        <v>108.3</v>
      </c>
      <c r="H577" s="3" t="n">
        <v>600</v>
      </c>
      <c r="I577" s="3" t="n">
        <v>400</v>
      </c>
      <c r="J577" s="4" t="n"/>
      <c r="K577" s="4">
        <f>IF(ISNUMBER(J577),J577+I577/10,"")</f>
        <v/>
      </c>
      <c r="L577" s="2" t="inlineStr">
        <is>
          <t>estimat</t>
        </is>
      </c>
      <c r="M577" s="2" t="inlineStr"/>
      <c r="N577" s="2" t="inlineStr"/>
    </row>
    <row r="578">
      <c r="A578" s="2" t="inlineStr">
        <is>
          <t>Samsung</t>
        </is>
      </c>
      <c r="B578" s="2" t="inlineStr">
        <is>
          <t>QN800D</t>
        </is>
      </c>
      <c r="C578" s="2" t="inlineStr">
        <is>
          <t>QN800D 75 Inch 2024 Neo QLED 8K Mini LED AI TV</t>
        </is>
      </c>
      <c r="D578" s="2" t="inlineStr">
        <is>
          <t>QE75QN800DTXXU, TQ75QN800DTXXC, GQ75QN800DTXZG, QE75QN800DTXZT</t>
        </is>
      </c>
      <c r="E578" s="3" t="n">
        <v>75</v>
      </c>
      <c r="F578" s="3" t="n">
        <v>2024</v>
      </c>
      <c r="G578" s="4" t="n">
        <v>95.59999999999999</v>
      </c>
      <c r="H578" s="3" t="n">
        <v>400</v>
      </c>
      <c r="I578" s="3" t="n">
        <v>400</v>
      </c>
      <c r="J578" s="4" t="n">
        <v>34.5</v>
      </c>
      <c r="K578" s="4">
        <f>IF(ISNUMBER(J578),J578+I578/10,"")</f>
        <v/>
      </c>
      <c r="L578" s="2" t="inlineStr">
        <is>
          <t>3D-model</t>
        </is>
      </c>
      <c r="M578" s="2" t="inlineStr">
        <is>
          <t>Samsung</t>
        </is>
      </c>
      <c r="N578" s="2" t="inlineStr">
        <is>
          <t>Målt på Samsungs 3D-model af tv'et fra samsung.com: nederste VESA-hul 34,5 cm fra underkant. Metoden ramte 11 kendte mål med højst 1,2 cm afvigelse. Usikkerhed ca. ±1,5 cm.</t>
        </is>
      </c>
    </row>
    <row r="579">
      <c r="A579" s="2" t="inlineStr">
        <is>
          <t>Samsung</t>
        </is>
      </c>
      <c r="B579" s="2" t="inlineStr">
        <is>
          <t>QN800D</t>
        </is>
      </c>
      <c r="C579" s="2" t="inlineStr">
        <is>
          <t>QN800D 65 Inch 2024 Neo QLED 8K Mini LED AI TV</t>
        </is>
      </c>
      <c r="D579" s="2" t="inlineStr">
        <is>
          <t>QE65QN800DTXXU, TQ65QN800DTXXC, GQ65QN800DTXZG, QE65QN800DTXZT</t>
        </is>
      </c>
      <c r="E579" s="3" t="n">
        <v>65</v>
      </c>
      <c r="F579" s="3" t="n">
        <v>2024</v>
      </c>
      <c r="G579" s="4" t="n">
        <v>82.8</v>
      </c>
      <c r="H579" s="3" t="n">
        <v>400</v>
      </c>
      <c r="I579" s="3" t="n">
        <v>300</v>
      </c>
      <c r="J579" s="4" t="n"/>
      <c r="K579" s="4">
        <f>IF(ISNUMBER(J579),J579+I579/10,"")</f>
        <v/>
      </c>
      <c r="L579" s="2" t="inlineStr">
        <is>
          <t>estimat</t>
        </is>
      </c>
      <c r="M579" s="2" t="inlineStr"/>
      <c r="N579" s="2" t="inlineStr"/>
    </row>
    <row r="580">
      <c r="A580" s="2" t="inlineStr">
        <is>
          <t>Samsung</t>
        </is>
      </c>
      <c r="B580" s="2" t="inlineStr">
        <is>
          <t>QN80F</t>
        </is>
      </c>
      <c r="C580" s="2" t="inlineStr">
        <is>
          <t>2025 QN80F 100 inch 4K Neo QLED Mini LED Vision AI TV</t>
        </is>
      </c>
      <c r="D580" s="2" t="inlineStr">
        <is>
          <t>QE100QN80FUXXU</t>
        </is>
      </c>
      <c r="E580" s="3" t="n">
        <v>100</v>
      </c>
      <c r="F580" s="3" t="n">
        <v>2025</v>
      </c>
      <c r="G580" s="4" t="n">
        <v>127.3</v>
      </c>
      <c r="H580" s="3" t="n">
        <v>600</v>
      </c>
      <c r="I580" s="3" t="n">
        <v>400</v>
      </c>
      <c r="J580" s="4" t="n"/>
      <c r="K580" s="4">
        <f>IF(ISNUMBER(J580),J580+I580/10,"")</f>
        <v/>
      </c>
      <c r="L580" s="2" t="inlineStr">
        <is>
          <t>estimat</t>
        </is>
      </c>
      <c r="M580" s="2" t="inlineStr"/>
      <c r="N580" s="2" t="inlineStr"/>
    </row>
    <row r="581">
      <c r="A581" s="2" t="inlineStr">
        <is>
          <t>Samsung</t>
        </is>
      </c>
      <c r="B581" s="2" t="inlineStr">
        <is>
          <t>QN80F</t>
        </is>
      </c>
      <c r="C581" s="2" t="inlineStr">
        <is>
          <t>2025 QN80F 85 inch 4K Neo QLED Mini LED Vision AI TV</t>
        </is>
      </c>
      <c r="D581" s="2" t="inlineStr">
        <is>
          <t>QE85QN80FAUXXU, QE85QN80FAUXXN, TQ85QN80FAUXXC, GQ85QN80FAUXZG</t>
        </is>
      </c>
      <c r="E581" s="3" t="n">
        <v>85</v>
      </c>
      <c r="F581" s="3" t="n">
        <v>2025</v>
      </c>
      <c r="G581" s="4" t="n">
        <v>108.3</v>
      </c>
      <c r="H581" s="3" t="n">
        <v>600</v>
      </c>
      <c r="I581" s="3" t="n">
        <v>400</v>
      </c>
      <c r="J581" s="4" t="n"/>
      <c r="K581" s="4">
        <f>IF(ISNUMBER(J581),J581+I581/10,"")</f>
        <v/>
      </c>
      <c r="L581" s="2" t="inlineStr">
        <is>
          <t>estimat</t>
        </is>
      </c>
      <c r="M581" s="2" t="inlineStr"/>
      <c r="N581" s="2" t="inlineStr"/>
    </row>
    <row r="582">
      <c r="A582" s="2" t="inlineStr">
        <is>
          <t>Samsung</t>
        </is>
      </c>
      <c r="B582" s="2" t="inlineStr">
        <is>
          <t>QN80F</t>
        </is>
      </c>
      <c r="C582" s="2" t="inlineStr">
        <is>
          <t>2025 QN80F 75 inch 4K Neo QLED Mini LED Vision AI TV</t>
        </is>
      </c>
      <c r="D582" s="2" t="inlineStr">
        <is>
          <t>QE75QN80FAUXXU, QE75QN80FAUXXN, TQ75QN80FAUXXC, GQ75QN80FAUXZG</t>
        </is>
      </c>
      <c r="E582" s="3" t="n">
        <v>75</v>
      </c>
      <c r="F582" s="3" t="n">
        <v>2025</v>
      </c>
      <c r="G582" s="4" t="n">
        <v>95.8</v>
      </c>
      <c r="H582" s="3" t="n">
        <v>400</v>
      </c>
      <c r="I582" s="3" t="n">
        <v>400</v>
      </c>
      <c r="J582" s="4" t="n"/>
      <c r="K582" s="4">
        <f>IF(ISNUMBER(J582),J582+I582/10,"")</f>
        <v/>
      </c>
      <c r="L582" s="2" t="inlineStr">
        <is>
          <t>estimat</t>
        </is>
      </c>
      <c r="M582" s="2" t="inlineStr"/>
      <c r="N582" s="2" t="inlineStr"/>
    </row>
    <row r="583">
      <c r="A583" s="2" t="inlineStr">
        <is>
          <t>Samsung</t>
        </is>
      </c>
      <c r="B583" s="2" t="inlineStr">
        <is>
          <t>QN80F</t>
        </is>
      </c>
      <c r="C583" s="2" t="inlineStr">
        <is>
          <t>2025 QN80F 65 inch 4K Neo QLED Mini LED Vision AI TV</t>
        </is>
      </c>
      <c r="D583" s="2" t="inlineStr">
        <is>
          <t>QE65QN80FAUXXU, QE65QN80FAUXXN, TQ65QN80FAUXXC, GQ65QN80FAUXZG, QE65QN80FAUXZT</t>
        </is>
      </c>
      <c r="E583" s="3" t="n">
        <v>65</v>
      </c>
      <c r="F583" s="3" t="n">
        <v>2025</v>
      </c>
      <c r="G583" s="4" t="n">
        <v>82.90000000000001</v>
      </c>
      <c r="H583" s="3" t="n">
        <v>400</v>
      </c>
      <c r="I583" s="3" t="n">
        <v>300</v>
      </c>
      <c r="J583" s="4" t="n">
        <v>30</v>
      </c>
      <c r="K583" s="4">
        <f>IF(ISNUMBER(J583),J583+I583/10,"")</f>
        <v/>
      </c>
      <c r="L583" s="2" t="inlineStr">
        <is>
          <t>billedmålt</t>
        </is>
      </c>
      <c r="M583" s="2" t="inlineStr">
        <is>
          <t>Which?</t>
        </is>
      </c>
      <c r="N583" s="2" t="inlineStr">
        <is>
          <t>Billedmålt på Which?-foto (samsung-qe65qn80fauxxu): nederste VESA-hul 30 cm fra underkant, målt ud fra VESA 400×300 som skala. Usikkerhed ca. ±1 cm.</t>
        </is>
      </c>
    </row>
    <row r="584">
      <c r="A584" s="2" t="inlineStr">
        <is>
          <t>Samsung</t>
        </is>
      </c>
      <c r="B584" s="2" t="inlineStr">
        <is>
          <t>QN80F</t>
        </is>
      </c>
      <c r="C584" s="2" t="inlineStr">
        <is>
          <t>2025 QN80F 55 inch 4K Neo QLED Mini LED Vision AI TV</t>
        </is>
      </c>
      <c r="D584" s="2" t="inlineStr">
        <is>
          <t>QE55QN80FAUXXU, QE55QN80FAUXXN, TQ55QN80FAUXXC, GQ55QN80FAUXZG, QE55QN80FAUXZT</t>
        </is>
      </c>
      <c r="E584" s="3" t="n">
        <v>55</v>
      </c>
      <c r="F584" s="3" t="n">
        <v>2025</v>
      </c>
      <c r="G584" s="4" t="n">
        <v>70.59999999999999</v>
      </c>
      <c r="H584" s="3" t="n">
        <v>200</v>
      </c>
      <c r="I584" s="3" t="n">
        <v>200</v>
      </c>
      <c r="J584" s="4" t="n">
        <v>29.2</v>
      </c>
      <c r="K584" s="4">
        <f>IF(ISNUMBER(J584),J584+I584/10,"")</f>
        <v/>
      </c>
      <c r="L584" s="2" t="inlineStr">
        <is>
          <t>billedmålt</t>
        </is>
      </c>
      <c r="M584" s="2" t="inlineStr">
        <is>
          <t>Which?</t>
        </is>
      </c>
      <c r="N584" s="2" t="inlineStr">
        <is>
          <t>Billedmålt på Which?-foto (samsung-qe55qn80fauxxu): nederste VESA-hul 29,2 cm fra underkant, målt ud fra VESA 200×200 som skala. Usikkerhed ca. ±1 cm.</t>
        </is>
      </c>
    </row>
    <row r="585">
      <c r="A585" s="2" t="inlineStr">
        <is>
          <t>Samsung</t>
        </is>
      </c>
      <c r="B585" s="2" t="inlineStr">
        <is>
          <t>QN80F</t>
        </is>
      </c>
      <c r="C585" s="2" t="inlineStr">
        <is>
          <t>2025 QN80F 50 inch 4K Neo QLED Mini LED Vision AI TV</t>
        </is>
      </c>
      <c r="D585" s="2" t="inlineStr">
        <is>
          <t>QE50QN80FAUXXU, QE50QN80FAUXXN, TQ50QN80FAUXXC, GQ50QN80FAUXZG, QE50QN80FAUXZT</t>
        </is>
      </c>
      <c r="E585" s="3" t="n">
        <v>50</v>
      </c>
      <c r="F585" s="3" t="n">
        <v>2025</v>
      </c>
      <c r="G585" s="4" t="n">
        <v>64.40000000000001</v>
      </c>
      <c r="H585" s="3" t="n">
        <v>200</v>
      </c>
      <c r="I585" s="3" t="n">
        <v>200</v>
      </c>
      <c r="J585" s="4" t="n">
        <v>29.7</v>
      </c>
      <c r="K585" s="4">
        <f>IF(ISNUMBER(J585),J585+I585/10,"")</f>
        <v/>
      </c>
      <c r="L585" s="2" t="inlineStr">
        <is>
          <t>billedmålt</t>
        </is>
      </c>
      <c r="M585" s="2" t="inlineStr">
        <is>
          <t>Which?</t>
        </is>
      </c>
      <c r="N585" s="2" t="inlineStr">
        <is>
          <t>Billedmålt på Which?-foto (samsung-qe50qn80fauxxu): nederste VESA-hul 29,7 cm fra underkant, målt ud fra VESA 200×200 som skala. Usikkerhed ca. ±1 cm.</t>
        </is>
      </c>
    </row>
    <row r="586">
      <c r="A586" s="2" t="inlineStr">
        <is>
          <t>Samsung</t>
        </is>
      </c>
      <c r="B586" s="2" t="inlineStr">
        <is>
          <t>QN80H</t>
        </is>
      </c>
      <c r="C586" s="2" t="inlineStr">
        <is>
          <t>2026 QN80H 100 inch 4K Neo QLED Mini LED Samsung Vision AI TV</t>
        </is>
      </c>
      <c r="D586" s="2" t="inlineStr">
        <is>
          <t>QE100QN80HUXXU</t>
        </is>
      </c>
      <c r="E586" s="3" t="n">
        <v>100</v>
      </c>
      <c r="F586" s="3" t="n">
        <v>2026</v>
      </c>
      <c r="G586" s="4" t="n">
        <v>127.3</v>
      </c>
      <c r="H586" s="3" t="n">
        <v>600</v>
      </c>
      <c r="I586" s="3" t="n">
        <v>400</v>
      </c>
      <c r="J586" s="4" t="n"/>
      <c r="K586" s="4">
        <f>IF(ISNUMBER(J586),J586+I586/10,"")</f>
        <v/>
      </c>
      <c r="L586" s="2" t="inlineStr">
        <is>
          <t>estimat</t>
        </is>
      </c>
      <c r="M586" s="2" t="inlineStr"/>
      <c r="N586" s="2" t="inlineStr"/>
    </row>
    <row r="587">
      <c r="A587" s="2" t="inlineStr">
        <is>
          <t>Samsung</t>
        </is>
      </c>
      <c r="B587" s="2" t="inlineStr">
        <is>
          <t>QN80H</t>
        </is>
      </c>
      <c r="C587" s="2" t="inlineStr">
        <is>
          <t>2026 QN80H 85 inch 4K Neo QLED Mini LED Samsung Vision AI TV</t>
        </is>
      </c>
      <c r="D587" s="2" t="inlineStr">
        <is>
          <t>QE85QN80HAUXXU, QE85QN80HAUXXN, TQ85QN80HBUXNA, GQ85QN80HAUXZG, TQ85QN80HAUXXC</t>
        </is>
      </c>
      <c r="E587" s="3" t="n">
        <v>85</v>
      </c>
      <c r="F587" s="3" t="n">
        <v>2026</v>
      </c>
      <c r="G587" s="4" t="n">
        <v>108.3</v>
      </c>
      <c r="H587" s="3" t="n">
        <v>600</v>
      </c>
      <c r="I587" s="3" t="n">
        <v>400</v>
      </c>
      <c r="J587" s="4" t="n"/>
      <c r="K587" s="4">
        <f>IF(ISNUMBER(J587),J587+I587/10,"")</f>
        <v/>
      </c>
      <c r="L587" s="2" t="inlineStr">
        <is>
          <t>estimat</t>
        </is>
      </c>
      <c r="M587" s="2" t="inlineStr"/>
      <c r="N587" s="2" t="inlineStr"/>
    </row>
    <row r="588">
      <c r="A588" s="2" t="inlineStr">
        <is>
          <t>Samsung</t>
        </is>
      </c>
      <c r="B588" s="2" t="inlineStr">
        <is>
          <t>QN80H</t>
        </is>
      </c>
      <c r="C588" s="2" t="inlineStr">
        <is>
          <t>2026 QN80H 75 inch 4K Neo QLED Mini LED Samsung Vision AI TV</t>
        </is>
      </c>
      <c r="D588" s="2" t="inlineStr">
        <is>
          <t>QE75QN80HAUXXU, QE75QN80HAUXXN, TQ75QN80HBUXNA, GQ75QN80HAUXZG, TQ75QN80HAUXXC</t>
        </is>
      </c>
      <c r="E588" s="3" t="n">
        <v>75</v>
      </c>
      <c r="F588" s="3" t="n">
        <v>2026</v>
      </c>
      <c r="G588" s="4" t="n">
        <v>95.8</v>
      </c>
      <c r="H588" s="3" t="n">
        <v>400</v>
      </c>
      <c r="I588" s="3" t="n">
        <v>300</v>
      </c>
      <c r="J588" s="4" t="n">
        <v>35.6</v>
      </c>
      <c r="K588" s="4">
        <f>IF(ISNUMBER(J588),J588+I588/10,"")</f>
        <v/>
      </c>
      <c r="L588" s="2" t="inlineStr">
        <is>
          <t>billedmålt</t>
        </is>
      </c>
      <c r="M588" s="2" t="inlineStr">
        <is>
          <t>Which?</t>
        </is>
      </c>
      <c r="N588" s="2" t="inlineStr">
        <is>
          <t>Billedmålt på Which?-foto: nederste VESA-hul 35,6 cm fra underkant, målt ud fra VESA 400×300 som skala. Usikkerhed ca. ±1 cm.</t>
        </is>
      </c>
    </row>
    <row r="589">
      <c r="A589" s="2" t="inlineStr">
        <is>
          <t>Samsung</t>
        </is>
      </c>
      <c r="B589" s="2" t="inlineStr">
        <is>
          <t>QN80H</t>
        </is>
      </c>
      <c r="C589" s="2" t="inlineStr">
        <is>
          <t>2026 QN80H 65 inch 4K Neo QLED Mini LED Samsung Vision AI TV</t>
        </is>
      </c>
      <c r="D589" s="2" t="inlineStr">
        <is>
          <t>QE65QN80HAUXXU, QE65QN80HAUXXN, TQ65QN80HBUXNA, GQ65QN80HAUXZG, TQ65QN80HAUXXC, QE65QN80HAUXZT</t>
        </is>
      </c>
      <c r="E589" s="3" t="n">
        <v>65</v>
      </c>
      <c r="F589" s="3" t="n">
        <v>2026</v>
      </c>
      <c r="G589" s="4" t="n">
        <v>83.09999999999999</v>
      </c>
      <c r="H589" s="3" t="n">
        <v>400</v>
      </c>
      <c r="I589" s="3" t="n">
        <v>300</v>
      </c>
      <c r="J589" s="4" t="n"/>
      <c r="K589" s="4">
        <f>IF(ISNUMBER(J589),J589+I589/10,"")</f>
        <v/>
      </c>
      <c r="L589" s="2" t="inlineStr">
        <is>
          <t>estimat</t>
        </is>
      </c>
      <c r="M589" s="2" t="inlineStr"/>
      <c r="N589" s="2" t="inlineStr"/>
    </row>
    <row r="590">
      <c r="A590" s="2" t="inlineStr">
        <is>
          <t>Samsung</t>
        </is>
      </c>
      <c r="B590" s="2" t="inlineStr">
        <is>
          <t>QN80H</t>
        </is>
      </c>
      <c r="C590" s="2" t="inlineStr">
        <is>
          <t>2026 QN80H 55 inch 4K Neo QLED Mini LED Samsung Vision AI TV</t>
        </is>
      </c>
      <c r="D590" s="2" t="inlineStr">
        <is>
          <t>QE55QN80HAUXXU, QE55QN80HAUXXN, TQ55QN80HBUXNA, GQ55QN80HAUXZG, TQ55QN80HAUXXC, QE55QN80HAUXZT</t>
        </is>
      </c>
      <c r="E590" s="3" t="n">
        <v>55</v>
      </c>
      <c r="F590" s="3" t="n">
        <v>2026</v>
      </c>
      <c r="G590" s="4" t="n">
        <v>70.8</v>
      </c>
      <c r="H590" s="3" t="n">
        <v>300</v>
      </c>
      <c r="I590" s="3" t="n">
        <v>200</v>
      </c>
      <c r="J590" s="4" t="n"/>
      <c r="K590" s="4">
        <f>IF(ISNUMBER(J590),J590+I590/10,"")</f>
        <v/>
      </c>
      <c r="L590" s="2" t="inlineStr">
        <is>
          <t>estimat</t>
        </is>
      </c>
      <c r="M590" s="2" t="inlineStr"/>
      <c r="N590" s="2" t="inlineStr"/>
    </row>
    <row r="591">
      <c r="A591" s="2" t="inlineStr">
        <is>
          <t>Samsung</t>
        </is>
      </c>
      <c r="B591" s="2" t="inlineStr">
        <is>
          <t>QN80H</t>
        </is>
      </c>
      <c r="C591" s="2" t="inlineStr">
        <is>
          <t>2026 QN80H 50 inch 4K Neo QLED Mini LED Samsung Vision AI TV</t>
        </is>
      </c>
      <c r="D591" s="2" t="inlineStr">
        <is>
          <t>QE50QN80HAUXXU, QE50QN80HAUXXN, TQ50QN80HBUXNA, GQ50QN80HAUXZG, TQ50QN80HAUXXC, QE50QN80HAUXZT</t>
        </is>
      </c>
      <c r="E591" s="3" t="n">
        <v>50</v>
      </c>
      <c r="F591" s="3" t="n">
        <v>2026</v>
      </c>
      <c r="G591" s="4" t="n">
        <v>64.40000000000001</v>
      </c>
      <c r="H591" s="3" t="n">
        <v>200</v>
      </c>
      <c r="I591" s="3" t="n">
        <v>200</v>
      </c>
      <c r="J591" s="4" t="n"/>
      <c r="K591" s="4">
        <f>IF(ISNUMBER(J591),J591+I591/10,"")</f>
        <v/>
      </c>
      <c r="L591" s="2" t="inlineStr">
        <is>
          <t>estimat</t>
        </is>
      </c>
      <c r="M591" s="2" t="inlineStr"/>
      <c r="N591" s="2" t="inlineStr"/>
    </row>
    <row r="592">
      <c r="A592" s="2" t="inlineStr">
        <is>
          <t>Samsung</t>
        </is>
      </c>
      <c r="B592" s="2" t="inlineStr">
        <is>
          <t>QN82H</t>
        </is>
      </c>
      <c r="C592" s="2" t="inlineStr">
        <is>
          <t>65" Neo QLED QN82H 4K Vision AI Smart TV (2026)</t>
        </is>
      </c>
      <c r="D592" s="2" t="inlineStr">
        <is>
          <t>QE65QN82HAUXXN, TQ65QN82HBUXNA, QE65QN82HAUXZT</t>
        </is>
      </c>
      <c r="E592" s="3" t="n">
        <v>65</v>
      </c>
      <c r="F592" s="3" t="n">
        <v>2026</v>
      </c>
      <c r="G592" s="4" t="n">
        <v>83.09999999999999</v>
      </c>
      <c r="H592" s="3" t="n">
        <v>400</v>
      </c>
      <c r="I592" s="3" t="n">
        <v>300</v>
      </c>
      <c r="J592" s="4" t="n"/>
      <c r="K592" s="4">
        <f>IF(ISNUMBER(J592),J592+I592/10,"")</f>
        <v/>
      </c>
      <c r="L592" s="2" t="inlineStr">
        <is>
          <t>estimat</t>
        </is>
      </c>
      <c r="M592" s="2" t="inlineStr"/>
      <c r="N592" s="2" t="inlineStr"/>
    </row>
    <row r="593">
      <c r="A593" s="2" t="inlineStr">
        <is>
          <t>Samsung</t>
        </is>
      </c>
      <c r="B593" s="2" t="inlineStr">
        <is>
          <t>QN82H</t>
        </is>
      </c>
      <c r="C593" s="2" t="inlineStr">
        <is>
          <t>55" Neo QLED QN82H 4K Vision AI Smart TV (2026)</t>
        </is>
      </c>
      <c r="D593" s="2" t="inlineStr">
        <is>
          <t>QE55QN82HAUXXN, TQ55QN82HBUXNA, QE55QN82HAUXZT</t>
        </is>
      </c>
      <c r="E593" s="3" t="n">
        <v>55</v>
      </c>
      <c r="F593" s="3" t="n">
        <v>2026</v>
      </c>
      <c r="G593" s="4" t="n">
        <v>70.8</v>
      </c>
      <c r="H593" s="3" t="n">
        <v>300</v>
      </c>
      <c r="I593" s="3" t="n">
        <v>200</v>
      </c>
      <c r="J593" s="4" t="n"/>
      <c r="K593" s="4">
        <f>IF(ISNUMBER(J593),J593+I593/10,"")</f>
        <v/>
      </c>
      <c r="L593" s="2" t="inlineStr">
        <is>
          <t>estimat</t>
        </is>
      </c>
      <c r="M593" s="2" t="inlineStr"/>
      <c r="N593" s="2" t="inlineStr"/>
    </row>
    <row r="594">
      <c r="A594" s="2" t="inlineStr">
        <is>
          <t>Samsung</t>
        </is>
      </c>
      <c r="B594" s="2" t="inlineStr">
        <is>
          <t>QN82H</t>
        </is>
      </c>
      <c r="C594" s="2" t="inlineStr">
        <is>
          <t>50" Neo QLED QN82H 4K Vision AI Smart TV (2026)</t>
        </is>
      </c>
      <c r="D594" s="2" t="inlineStr">
        <is>
          <t>QE50QN82HAUXXN, TQ50QN82HBUXNA, QE50QN82HAUXZT</t>
        </is>
      </c>
      <c r="E594" s="3" t="n">
        <v>50</v>
      </c>
      <c r="F594" s="3" t="n">
        <v>2026</v>
      </c>
      <c r="G594" s="4" t="n">
        <v>64.40000000000001</v>
      </c>
      <c r="H594" s="3" t="n">
        <v>200</v>
      </c>
      <c r="I594" s="3" t="n">
        <v>200</v>
      </c>
      <c r="J594" s="4" t="n"/>
      <c r="K594" s="4">
        <f>IF(ISNUMBER(J594),J594+I594/10,"")</f>
        <v/>
      </c>
      <c r="L594" s="2" t="inlineStr">
        <is>
          <t>estimat</t>
        </is>
      </c>
      <c r="M594" s="2" t="inlineStr"/>
      <c r="N594" s="2" t="inlineStr"/>
    </row>
    <row r="595">
      <c r="A595" s="2" t="inlineStr">
        <is>
          <t>Samsung</t>
        </is>
      </c>
      <c r="B595" s="2" t="inlineStr">
        <is>
          <t>QN83H</t>
        </is>
      </c>
      <c r="C595" s="2" t="inlineStr">
        <is>
          <t>65" Neo QLED 4K Vision AI Smart TV QN83H (2026)</t>
        </is>
      </c>
      <c r="D595" s="2" t="inlineStr">
        <is>
          <t>QE65QN83HAUXXN, TQ65QN83HBUXNA</t>
        </is>
      </c>
      <c r="E595" s="3" t="n">
        <v>65</v>
      </c>
      <c r="F595" s="3" t="n">
        <v>2026</v>
      </c>
      <c r="G595" s="4" t="n">
        <v>83.09999999999999</v>
      </c>
      <c r="H595" s="3" t="n">
        <v>400</v>
      </c>
      <c r="I595" s="3" t="n">
        <v>300</v>
      </c>
      <c r="J595" s="4" t="n"/>
      <c r="K595" s="4">
        <f>IF(ISNUMBER(J595),J595+I595/10,"")</f>
        <v/>
      </c>
      <c r="L595" s="2" t="inlineStr">
        <is>
          <t>estimat</t>
        </is>
      </c>
      <c r="M595" s="2" t="inlineStr"/>
      <c r="N595" s="2" t="inlineStr"/>
    </row>
    <row r="596">
      <c r="A596" s="2" t="inlineStr">
        <is>
          <t>Samsung</t>
        </is>
      </c>
      <c r="B596" s="2" t="inlineStr">
        <is>
          <t>QN83H</t>
        </is>
      </c>
      <c r="C596" s="2" t="inlineStr">
        <is>
          <t>55" Neo QLED 4K Vision AI Smart TV QN83H (2026)</t>
        </is>
      </c>
      <c r="D596" s="2" t="inlineStr">
        <is>
          <t>QE55QN83HAUXXN, TQ55QN83HBUXNA</t>
        </is>
      </c>
      <c r="E596" s="3" t="n">
        <v>55</v>
      </c>
      <c r="F596" s="3" t="n">
        <v>2026</v>
      </c>
      <c r="G596" s="4" t="n">
        <v>70.8</v>
      </c>
      <c r="H596" s="3" t="n">
        <v>300</v>
      </c>
      <c r="I596" s="3" t="n">
        <v>200</v>
      </c>
      <c r="J596" s="4" t="n"/>
      <c r="K596" s="4">
        <f>IF(ISNUMBER(J596),J596+I596/10,"")</f>
        <v/>
      </c>
      <c r="L596" s="2" t="inlineStr">
        <is>
          <t>estimat</t>
        </is>
      </c>
      <c r="M596" s="2" t="inlineStr"/>
      <c r="N596" s="2" t="inlineStr"/>
    </row>
    <row r="597">
      <c r="A597" s="2" t="inlineStr">
        <is>
          <t>Samsung</t>
        </is>
      </c>
      <c r="B597" s="2" t="inlineStr">
        <is>
          <t>QN83H</t>
        </is>
      </c>
      <c r="C597" s="2" t="inlineStr">
        <is>
          <t>50" Neo QLED QN83H 4K Samsung Vision AI Smart TV (2026)</t>
        </is>
      </c>
      <c r="D597" s="2" t="inlineStr">
        <is>
          <t>QE50QN83HAUXXN, TQ50QN83HBUXNA</t>
        </is>
      </c>
      <c r="E597" s="3" t="n">
        <v>50</v>
      </c>
      <c r="F597" s="3" t="n">
        <v>2026</v>
      </c>
      <c r="G597" s="4" t="n">
        <v>64.40000000000001</v>
      </c>
      <c r="H597" s="3" t="n">
        <v>200</v>
      </c>
      <c r="I597" s="3" t="n">
        <v>200</v>
      </c>
      <c r="J597" s="4" t="n"/>
      <c r="K597" s="4">
        <f>IF(ISNUMBER(J597),J597+I597/10,"")</f>
        <v/>
      </c>
      <c r="L597" s="2" t="inlineStr">
        <is>
          <t>estimat</t>
        </is>
      </c>
      <c r="M597" s="2" t="inlineStr"/>
      <c r="N597" s="2" t="inlineStr"/>
    </row>
    <row r="598">
      <c r="A598" s="2" t="inlineStr">
        <is>
          <t>Samsung</t>
        </is>
      </c>
      <c r="B598" s="2" t="inlineStr">
        <is>
          <t>QN84H</t>
        </is>
      </c>
      <c r="C598" s="2" t="inlineStr">
        <is>
          <t>65" Neo QLED QN84H 4K Samsung Vision AI Smart TV (2026)</t>
        </is>
      </c>
      <c r="D598" s="2" t="inlineStr">
        <is>
          <t>TQ65QN84HBUXNA, GQ65QN84HAUXZG</t>
        </is>
      </c>
      <c r="E598" s="3" t="n">
        <v>65</v>
      </c>
      <c r="F598" s="3" t="n">
        <v>2026</v>
      </c>
      <c r="G598" s="4" t="n">
        <v>83.09999999999999</v>
      </c>
      <c r="H598" s="3" t="n">
        <v>400</v>
      </c>
      <c r="I598" s="3" t="n">
        <v>300</v>
      </c>
      <c r="J598" s="4" t="n"/>
      <c r="K598" s="4">
        <f>IF(ISNUMBER(J598),J598+I598/10,"")</f>
        <v/>
      </c>
      <c r="L598" s="2" t="inlineStr">
        <is>
          <t>estimat</t>
        </is>
      </c>
      <c r="M598" s="2" t="inlineStr"/>
      <c r="N598" s="2" t="inlineStr"/>
    </row>
    <row r="599">
      <c r="A599" s="2" t="inlineStr">
        <is>
          <t>Samsung</t>
        </is>
      </c>
      <c r="B599" s="2" t="inlineStr">
        <is>
          <t>QN84H</t>
        </is>
      </c>
      <c r="C599" s="2" t="inlineStr">
        <is>
          <t>55" Neo QLED QN84H 4K Samsung Vision AI Smart TV (2026)</t>
        </is>
      </c>
      <c r="D599" s="2" t="inlineStr">
        <is>
          <t>TQ55QN84HBUXNA, GQ55QN84HAUXZG</t>
        </is>
      </c>
      <c r="E599" s="3" t="n">
        <v>55</v>
      </c>
      <c r="F599" s="3" t="n">
        <v>2026</v>
      </c>
      <c r="G599" s="4" t="n">
        <v>70.8</v>
      </c>
      <c r="H599" s="3" t="n">
        <v>300</v>
      </c>
      <c r="I599" s="3" t="n">
        <v>200</v>
      </c>
      <c r="J599" s="4" t="n"/>
      <c r="K599" s="4">
        <f>IF(ISNUMBER(J599),J599+I599/10,"")</f>
        <v/>
      </c>
      <c r="L599" s="2" t="inlineStr">
        <is>
          <t>estimat</t>
        </is>
      </c>
      <c r="M599" s="2" t="inlineStr"/>
      <c r="N599" s="2" t="inlineStr"/>
    </row>
    <row r="600">
      <c r="A600" s="2" t="inlineStr">
        <is>
          <t>Samsung</t>
        </is>
      </c>
      <c r="B600" s="2" t="inlineStr">
        <is>
          <t>QN84H</t>
        </is>
      </c>
      <c r="C600" s="2" t="inlineStr">
        <is>
          <t>50" Neo QLED QN84H 4K Samsung Vision AI Smart TV (2026)</t>
        </is>
      </c>
      <c r="D600" s="2" t="inlineStr">
        <is>
          <t>TQ50QN84HBUXNA, GQ50QN84HAUXZG</t>
        </is>
      </c>
      <c r="E600" s="3" t="n">
        <v>50</v>
      </c>
      <c r="F600" s="3" t="n">
        <v>2026</v>
      </c>
      <c r="G600" s="4" t="n">
        <v>64.40000000000001</v>
      </c>
      <c r="H600" s="3" t="n">
        <v>200</v>
      </c>
      <c r="I600" s="3" t="n">
        <v>200</v>
      </c>
      <c r="J600" s="4" t="n"/>
      <c r="K600" s="4">
        <f>IF(ISNUMBER(J600),J600+I600/10,"")</f>
        <v/>
      </c>
      <c r="L600" s="2" t="inlineStr">
        <is>
          <t>estimat</t>
        </is>
      </c>
      <c r="M600" s="2" t="inlineStr"/>
      <c r="N600" s="2" t="inlineStr"/>
    </row>
    <row r="601">
      <c r="A601" s="2" t="inlineStr">
        <is>
          <t>Samsung</t>
        </is>
      </c>
      <c r="B601" s="2" t="inlineStr">
        <is>
          <t>QN85D</t>
        </is>
      </c>
      <c r="C601" s="2" t="inlineStr">
        <is>
          <t>QN85D 85 Inch 2024 Neo QLED 4K Mini LED AI TV</t>
        </is>
      </c>
      <c r="D601" s="2" t="inlineStr">
        <is>
          <t>QE85QN85DBTXXU, QE85QN85DBTXXN, TQ85QN85DBTXXC, GQ85QN85DBTXZG</t>
        </is>
      </c>
      <c r="E601" s="3" t="n">
        <v>85</v>
      </c>
      <c r="F601" s="3" t="n">
        <v>2024</v>
      </c>
      <c r="G601" s="4" t="n">
        <v>108.3</v>
      </c>
      <c r="H601" s="3" t="n">
        <v>600</v>
      </c>
      <c r="I601" s="3" t="n">
        <v>400</v>
      </c>
      <c r="J601" s="4" t="n"/>
      <c r="K601" s="4">
        <f>IF(ISNUMBER(J601),J601+I601/10,"")</f>
        <v/>
      </c>
      <c r="L601" s="2" t="inlineStr">
        <is>
          <t>estimat</t>
        </is>
      </c>
      <c r="M601" s="2" t="inlineStr"/>
      <c r="N601" s="2" t="inlineStr"/>
    </row>
    <row r="602">
      <c r="A602" s="2" t="inlineStr">
        <is>
          <t>Samsung</t>
        </is>
      </c>
      <c r="B602" s="2" t="inlineStr">
        <is>
          <t>QN85D</t>
        </is>
      </c>
      <c r="C602" s="2" t="inlineStr">
        <is>
          <t>QN85D 75 Inch 2024 Neo QLED 4K Mini LED AI TV</t>
        </is>
      </c>
      <c r="D602" s="2" t="inlineStr">
        <is>
          <t>QE75QN85DBTXXU, QE75QN85DBTXXN, TQ75QN85DBTXXC, GQ75QN85DBTXZG</t>
        </is>
      </c>
      <c r="E602" s="3" t="n">
        <v>75</v>
      </c>
      <c r="F602" s="3" t="n">
        <v>2024</v>
      </c>
      <c r="G602" s="4" t="n">
        <v>95.8</v>
      </c>
      <c r="H602" s="3" t="n">
        <v>400</v>
      </c>
      <c r="I602" s="3" t="n">
        <v>400</v>
      </c>
      <c r="J602" s="4" t="n">
        <v>32.6</v>
      </c>
      <c r="K602" s="4">
        <f>IF(ISNUMBER(J602),J602+I602/10,"")</f>
        <v/>
      </c>
      <c r="L602" s="2" t="inlineStr">
        <is>
          <t>3D-model</t>
        </is>
      </c>
      <c r="M602" s="2" t="inlineStr">
        <is>
          <t>Samsung</t>
        </is>
      </c>
      <c r="N602" s="2" t="inlineStr">
        <is>
          <t>Målt på Samsungs 3D-model af tv'et fra samsung.com: nederste VESA-hul 32,6 cm fra underkant. Metoden ramte 11 kendte mål med højst 1,2 cm afvigelse. Usikkerhed ca. ±1,5 cm.</t>
        </is>
      </c>
    </row>
    <row r="603">
      <c r="A603" s="2" t="inlineStr">
        <is>
          <t>Samsung</t>
        </is>
      </c>
      <c r="B603" s="2" t="inlineStr">
        <is>
          <t>QN85D</t>
        </is>
      </c>
      <c r="C603" s="2" t="inlineStr">
        <is>
          <t>QN85D 65 Inch 2024 Neo QLED 4K Mini LED AI TV</t>
        </is>
      </c>
      <c r="D603" s="2" t="inlineStr">
        <is>
          <t>QE65QN85DBTXXU, QE65QN85DBTXXN, TQ65QN85DBTXXC, GQ65QN85DBTXZG</t>
        </is>
      </c>
      <c r="E603" s="3" t="n">
        <v>65</v>
      </c>
      <c r="F603" s="3" t="n">
        <v>2024</v>
      </c>
      <c r="G603" s="4" t="n">
        <v>83</v>
      </c>
      <c r="H603" s="3" t="n">
        <v>400</v>
      </c>
      <c r="I603" s="3" t="n">
        <v>300</v>
      </c>
      <c r="J603" s="4" t="n"/>
      <c r="K603" s="4">
        <f>IF(ISNUMBER(J603),J603+I603/10,"")</f>
        <v/>
      </c>
      <c r="L603" s="2" t="inlineStr">
        <is>
          <t>estimat</t>
        </is>
      </c>
      <c r="M603" s="2" t="inlineStr"/>
      <c r="N603" s="2" t="inlineStr"/>
    </row>
    <row r="604">
      <c r="A604" s="2" t="inlineStr">
        <is>
          <t>Samsung</t>
        </is>
      </c>
      <c r="B604" s="2" t="inlineStr">
        <is>
          <t>QN85D</t>
        </is>
      </c>
      <c r="C604" s="2" t="inlineStr">
        <is>
          <t>QN85D 55 Inch 2024 Neo QLED 4K Mini LED AI TV</t>
        </is>
      </c>
      <c r="D604" s="2" t="inlineStr">
        <is>
          <t>QE55QN85DBTXXU, QE55QN85DBTXXN, TQ55QN85DBTXXC, GQ55QN85DBTXZG</t>
        </is>
      </c>
      <c r="E604" s="3" t="n">
        <v>55</v>
      </c>
      <c r="F604" s="3" t="n">
        <v>2024</v>
      </c>
      <c r="G604" s="4" t="n">
        <v>70.59999999999999</v>
      </c>
      <c r="H604" s="3" t="n">
        <v>200</v>
      </c>
      <c r="I604" s="3" t="n">
        <v>200</v>
      </c>
      <c r="J604" s="4" t="n"/>
      <c r="K604" s="4">
        <f>IF(ISNUMBER(J604),J604+I604/10,"")</f>
        <v/>
      </c>
      <c r="L604" s="2" t="inlineStr">
        <is>
          <t>estimat</t>
        </is>
      </c>
      <c r="M604" s="2" t="inlineStr"/>
      <c r="N604" s="2" t="inlineStr"/>
    </row>
    <row r="605">
      <c r="A605" s="2" t="inlineStr">
        <is>
          <t>Samsung</t>
        </is>
      </c>
      <c r="B605" s="2" t="inlineStr">
        <is>
          <t>QN85F</t>
        </is>
      </c>
      <c r="C605" s="2" t="inlineStr">
        <is>
          <t>2025 QN85F 85 inch 4K Neo QLED Mini LED Vision AI TV</t>
        </is>
      </c>
      <c r="D605" s="2" t="inlineStr">
        <is>
          <t>QE85QN85FAUXXU, TQ85QN85FAUXXC, GQ85QN85FAUXZG</t>
        </is>
      </c>
      <c r="E605" s="3" t="n">
        <v>85</v>
      </c>
      <c r="F605" s="3" t="n">
        <v>2025</v>
      </c>
      <c r="G605" s="4" t="n">
        <v>108.3</v>
      </c>
      <c r="H605" s="3" t="n">
        <v>600</v>
      </c>
      <c r="I605" s="3" t="n">
        <v>400</v>
      </c>
      <c r="J605" s="4" t="n"/>
      <c r="K605" s="4">
        <f>IF(ISNUMBER(J605),J605+I605/10,"")</f>
        <v/>
      </c>
      <c r="L605" s="2" t="inlineStr">
        <is>
          <t>estimat</t>
        </is>
      </c>
      <c r="M605" s="2" t="inlineStr"/>
      <c r="N605" s="2" t="inlineStr"/>
    </row>
    <row r="606">
      <c r="A606" s="2" t="inlineStr">
        <is>
          <t>Samsung</t>
        </is>
      </c>
      <c r="B606" s="2" t="inlineStr">
        <is>
          <t>QN85F</t>
        </is>
      </c>
      <c r="C606" s="2" t="inlineStr">
        <is>
          <t>2025 QN85F 75 inch 4K Neo QLED Mini LED Vision AI TV</t>
        </is>
      </c>
      <c r="D606" s="2" t="inlineStr">
        <is>
          <t>QE75QN85FAUXXU, TQ75QN85FAUXXC, GQ75QN85FAUXZG</t>
        </is>
      </c>
      <c r="E606" s="3" t="n">
        <v>75</v>
      </c>
      <c r="F606" s="3" t="n">
        <v>2025</v>
      </c>
      <c r="G606" s="4" t="n">
        <v>95.8</v>
      </c>
      <c r="H606" s="3" t="n">
        <v>400</v>
      </c>
      <c r="I606" s="3" t="n">
        <v>400</v>
      </c>
      <c r="J606" s="4" t="n"/>
      <c r="K606" s="4">
        <f>IF(ISNUMBER(J606),J606+I606/10,"")</f>
        <v/>
      </c>
      <c r="L606" s="2" t="inlineStr">
        <is>
          <t>estimat</t>
        </is>
      </c>
      <c r="M606" s="2" t="inlineStr"/>
      <c r="N606" s="2" t="inlineStr"/>
    </row>
    <row r="607">
      <c r="A607" s="2" t="inlineStr">
        <is>
          <t>Samsung</t>
        </is>
      </c>
      <c r="B607" s="2" t="inlineStr">
        <is>
          <t>QN85F</t>
        </is>
      </c>
      <c r="C607" s="2" t="inlineStr">
        <is>
          <t>2025 QN85F 65 inch 4K Neo QLED Mini LED Vision AI TV</t>
        </is>
      </c>
      <c r="D607" s="2" t="inlineStr">
        <is>
          <t>QE65QN85FAUXXU, TQ65QN85FAUXXC, GQ65QN85FAUXZG, QE65QN85FAUXZT</t>
        </is>
      </c>
      <c r="E607" s="3" t="n">
        <v>65</v>
      </c>
      <c r="F607" s="3" t="n">
        <v>2025</v>
      </c>
      <c r="G607" s="4" t="n">
        <v>83</v>
      </c>
      <c r="H607" s="3" t="n">
        <v>400</v>
      </c>
      <c r="I607" s="3" t="n">
        <v>300</v>
      </c>
      <c r="J607" s="4" t="n"/>
      <c r="K607" s="4">
        <f>IF(ISNUMBER(J607),J607+I607/10,"")</f>
        <v/>
      </c>
      <c r="L607" s="2" t="inlineStr">
        <is>
          <t>estimat</t>
        </is>
      </c>
      <c r="M607" s="2" t="inlineStr"/>
      <c r="N607" s="2" t="inlineStr"/>
    </row>
    <row r="608">
      <c r="A608" s="2" t="inlineStr">
        <is>
          <t>Samsung</t>
        </is>
      </c>
      <c r="B608" s="2" t="inlineStr">
        <is>
          <t>QN85F</t>
        </is>
      </c>
      <c r="C608" s="2" t="inlineStr">
        <is>
          <t>2025 QN85F 55 inch 4K Neo QLED Mini LED Vision AI TV</t>
        </is>
      </c>
      <c r="D608" s="2" t="inlineStr">
        <is>
          <t>QE55QN85FAUXXU, TQ55QN85FAUXXC, GQ55QN85FAUXZG, QE55QN85FAUXZT</t>
        </is>
      </c>
      <c r="E608" s="3" t="n">
        <v>55</v>
      </c>
      <c r="F608" s="3" t="n">
        <v>2025</v>
      </c>
      <c r="G608" s="4" t="n">
        <v>70.59999999999999</v>
      </c>
      <c r="H608" s="3" t="n">
        <v>200</v>
      </c>
      <c r="I608" s="3" t="n">
        <v>200</v>
      </c>
      <c r="J608" s="4" t="n"/>
      <c r="K608" s="4">
        <f>IF(ISNUMBER(J608),J608+I608/10,"")</f>
        <v/>
      </c>
      <c r="L608" s="2" t="inlineStr">
        <is>
          <t>estimat</t>
        </is>
      </c>
      <c r="M608" s="2" t="inlineStr"/>
      <c r="N608" s="2" t="inlineStr"/>
    </row>
    <row r="609">
      <c r="A609" s="2" t="inlineStr">
        <is>
          <t>Samsung</t>
        </is>
      </c>
      <c r="B609" s="2" t="inlineStr">
        <is>
          <t>QN900D</t>
        </is>
      </c>
      <c r="C609" s="2" t="inlineStr">
        <is>
          <t>QN900D 85 Inch 2024 Neo QLED 8K Mini LED AI TV</t>
        </is>
      </c>
      <c r="D609" s="2" t="inlineStr">
        <is>
          <t>QE85QN900DTXXU, TQ85QN900DTXXC, GQ85QN900DTXZG</t>
        </is>
      </c>
      <c r="E609" s="3" t="n">
        <v>85</v>
      </c>
      <c r="F609" s="3" t="n">
        <v>2024</v>
      </c>
      <c r="G609" s="4" t="n">
        <v>106.7</v>
      </c>
      <c r="H609" s="3" t="n">
        <v>600</v>
      </c>
      <c r="I609" s="3" t="n">
        <v>400</v>
      </c>
      <c r="J609" s="4" t="n"/>
      <c r="K609" s="4">
        <f>IF(ISNUMBER(J609),J609+I609/10,"")</f>
        <v/>
      </c>
      <c r="L609" s="2" t="inlineStr">
        <is>
          <t>estimat</t>
        </is>
      </c>
      <c r="M609" s="2" t="inlineStr"/>
      <c r="N609" s="2" t="inlineStr"/>
    </row>
    <row r="610">
      <c r="A610" s="2" t="inlineStr">
        <is>
          <t>Samsung</t>
        </is>
      </c>
      <c r="B610" s="2" t="inlineStr">
        <is>
          <t>QN900D</t>
        </is>
      </c>
      <c r="C610" s="2" t="inlineStr">
        <is>
          <t>QN900D 75 Inch 2024 Neo QLED 8K Mini LED AI TV</t>
        </is>
      </c>
      <c r="D610" s="2" t="inlineStr">
        <is>
          <t>QE75QN900DTXXU, TQ75QN900DTXXC, GQ75QN900DTXZG</t>
        </is>
      </c>
      <c r="E610" s="3" t="n">
        <v>75</v>
      </c>
      <c r="F610" s="3" t="n">
        <v>2024</v>
      </c>
      <c r="G610" s="4" t="n">
        <v>94.09999999999999</v>
      </c>
      <c r="H610" s="3" t="n">
        <v>400</v>
      </c>
      <c r="I610" s="3" t="n">
        <v>300</v>
      </c>
      <c r="J610" s="4" t="n">
        <v>44.6</v>
      </c>
      <c r="K610" s="4">
        <f>IF(ISNUMBER(J610),J610+I610/10,"")</f>
        <v/>
      </c>
      <c r="L610" s="2" t="inlineStr">
        <is>
          <t>3D-model</t>
        </is>
      </c>
      <c r="M610" s="2" t="inlineStr">
        <is>
          <t>Samsung</t>
        </is>
      </c>
      <c r="N610" s="2" t="inlineStr">
        <is>
          <t>Målt på Samsungs 3D-model af tv'et fra samsung.com: nederste VESA-hul 44,6 cm fra underkant. Metoden ramte 11 kendte mål med højst 1,2 cm afvigelse. Usikkerhed ca. ±1,5 cm.</t>
        </is>
      </c>
    </row>
    <row r="611">
      <c r="A611" s="2" t="inlineStr">
        <is>
          <t>Samsung</t>
        </is>
      </c>
      <c r="B611" s="2" t="inlineStr">
        <is>
          <t>QN900D</t>
        </is>
      </c>
      <c r="C611" s="2" t="inlineStr">
        <is>
          <t>QN900D 65 Inch 2024 Neo QLED 8K Mini LED AI TV</t>
        </is>
      </c>
      <c r="D611" s="2" t="inlineStr">
        <is>
          <t>QE65QN900DTXXU, TQ65QN900DTXXC, GQ65QN900DTXZG</t>
        </is>
      </c>
      <c r="E611" s="3" t="n">
        <v>65</v>
      </c>
      <c r="F611" s="3" t="n">
        <v>2024</v>
      </c>
      <c r="G611" s="4" t="n">
        <v>81.5</v>
      </c>
      <c r="H611" s="3" t="n">
        <v>400</v>
      </c>
      <c r="I611" s="3" t="n">
        <v>300</v>
      </c>
      <c r="J611" s="4" t="n"/>
      <c r="K611" s="4">
        <f>IF(ISNUMBER(J611),J611+I611/10,"")</f>
        <v/>
      </c>
      <c r="L611" s="2" t="inlineStr">
        <is>
          <t>estimat</t>
        </is>
      </c>
      <c r="M611" s="2" t="inlineStr"/>
      <c r="N611" s="2" t="inlineStr"/>
    </row>
    <row r="612">
      <c r="A612" s="2" t="inlineStr">
        <is>
          <t>Samsung</t>
        </is>
      </c>
      <c r="B612" s="2" t="inlineStr">
        <is>
          <t>QN900F</t>
        </is>
      </c>
      <c r="C612" s="2" t="inlineStr">
        <is>
          <t>2025 QN900F 85 inch 8K Neo QLED Mini LED Vision AI TV</t>
        </is>
      </c>
      <c r="D612" s="2" t="inlineStr">
        <is>
          <t>QE85QN900FTXXU, QE85QN900FTXXN, TQ85QN900FTXXC, GQ85QN900FTXZG, QE85QN900FTXZT</t>
        </is>
      </c>
      <c r="E612" s="3" t="n">
        <v>85</v>
      </c>
      <c r="F612" s="3" t="n">
        <v>2025</v>
      </c>
      <c r="G612" s="4" t="n">
        <v>108.8</v>
      </c>
      <c r="H612" s="3" t="n">
        <v>600</v>
      </c>
      <c r="I612" s="3" t="n">
        <v>400</v>
      </c>
      <c r="J612" s="4" t="n"/>
      <c r="K612" s="4">
        <f>IF(ISNUMBER(J612),J612+I612/10,"")</f>
        <v/>
      </c>
      <c r="L612" s="2" t="inlineStr">
        <is>
          <t>estimat</t>
        </is>
      </c>
      <c r="M612" s="2" t="inlineStr"/>
      <c r="N612" s="2" t="inlineStr"/>
    </row>
    <row r="613">
      <c r="A613" s="2" t="inlineStr">
        <is>
          <t>Samsung</t>
        </is>
      </c>
      <c r="B613" s="2" t="inlineStr">
        <is>
          <t>QN900F</t>
        </is>
      </c>
      <c r="C613" s="2" t="inlineStr">
        <is>
          <t>2025 QN900F 75 inch 8K Neo QLED Mini LED Vision AI TV</t>
        </is>
      </c>
      <c r="D613" s="2" t="inlineStr">
        <is>
          <t>QE75QN900FTXXU, QE75QN900FTXXN, TQ75QN900FTXXC, GQ75QN900FTXZG, QE75QN900FTXZT</t>
        </is>
      </c>
      <c r="E613" s="3" t="n">
        <v>75</v>
      </c>
      <c r="F613" s="3" t="n">
        <v>2025</v>
      </c>
      <c r="G613" s="4" t="n">
        <v>95.8</v>
      </c>
      <c r="H613" s="3" t="n">
        <v>400</v>
      </c>
      <c r="I613" s="3" t="n">
        <v>400</v>
      </c>
      <c r="J613" s="4" t="n"/>
      <c r="K613" s="4">
        <f>IF(ISNUMBER(J613),J613+I613/10,"")</f>
        <v/>
      </c>
      <c r="L613" s="2" t="inlineStr">
        <is>
          <t>estimat</t>
        </is>
      </c>
      <c r="M613" s="2" t="inlineStr"/>
      <c r="N613" s="2" t="inlineStr"/>
    </row>
    <row r="614">
      <c r="A614" s="2" t="inlineStr">
        <is>
          <t>Samsung</t>
        </is>
      </c>
      <c r="B614" s="2" t="inlineStr">
        <is>
          <t>QN900F</t>
        </is>
      </c>
      <c r="C614" s="2" t="inlineStr">
        <is>
          <t>2025 QN900F 65 inch 8K Neo QLED Mini LED Vision AI TV</t>
        </is>
      </c>
      <c r="D614" s="2" t="inlineStr">
        <is>
          <t>QE65QN900FTXXU, QE65QN900FTXXN, TQ65QN900FTXXC, GQ65QN900FTXZG, QE65QN900FTXZT</t>
        </is>
      </c>
      <c r="E614" s="3" t="n">
        <v>65</v>
      </c>
      <c r="F614" s="3" t="n">
        <v>2025</v>
      </c>
      <c r="G614" s="4" t="n">
        <v>83</v>
      </c>
      <c r="H614" s="3" t="n">
        <v>400</v>
      </c>
      <c r="I614" s="3" t="n">
        <v>300</v>
      </c>
      <c r="J614" s="4" t="n"/>
      <c r="K614" s="4">
        <f>IF(ISNUMBER(J614),J614+I614/10,"")</f>
        <v/>
      </c>
      <c r="L614" s="2" t="inlineStr">
        <is>
          <t>estimat</t>
        </is>
      </c>
      <c r="M614" s="2" t="inlineStr"/>
      <c r="N614" s="2" t="inlineStr"/>
    </row>
    <row r="615">
      <c r="A615" s="2" t="inlineStr">
        <is>
          <t>Samsung</t>
        </is>
      </c>
      <c r="B615" s="2" t="inlineStr">
        <is>
          <t>QN90C</t>
        </is>
      </c>
      <c r="C615" s="2" t="inlineStr">
        <is>
          <t>Neo QLED 4K QN90C</t>
        </is>
      </c>
      <c r="D615" s="2" t="inlineStr">
        <is>
          <t>QE85QN90CATXXU, QE85QN90CATXXC, QE85QN90CATXXN, TQ85QN90CATXXC</t>
        </is>
      </c>
      <c r="E615" s="3" t="n">
        <v>85</v>
      </c>
      <c r="F615" s="3" t="n">
        <v>2023</v>
      </c>
      <c r="G615" s="4" t="n">
        <v>108</v>
      </c>
      <c r="H615" s="3" t="n">
        <v>600</v>
      </c>
      <c r="I615" s="3" t="n">
        <v>400</v>
      </c>
      <c r="J615" s="4" t="n"/>
      <c r="K615" s="4">
        <f>IF(ISNUMBER(J615),J615+I615/10,"")</f>
        <v/>
      </c>
      <c r="L615" s="2" t="inlineStr">
        <is>
          <t>estimat</t>
        </is>
      </c>
      <c r="M615" s="2" t="inlineStr"/>
      <c r="N615" s="2" t="inlineStr"/>
    </row>
    <row r="616">
      <c r="A616" s="2" t="inlineStr">
        <is>
          <t>Samsung</t>
        </is>
      </c>
      <c r="B616" s="2" t="inlineStr">
        <is>
          <t>QN90D</t>
        </is>
      </c>
      <c r="C616" s="2" t="inlineStr">
        <is>
          <t>QN90D 98 Inch 2024 Neo QLED 4K Mini LED AI TV</t>
        </is>
      </c>
      <c r="D616" s="2" t="inlineStr">
        <is>
          <t>QE98QN90DATXXU</t>
        </is>
      </c>
      <c r="E616" s="3" t="n">
        <v>98</v>
      </c>
      <c r="F616" s="3" t="n">
        <v>2024</v>
      </c>
      <c r="G616" s="4" t="n">
        <v>124.9</v>
      </c>
      <c r="H616" s="3" t="n">
        <v>600</v>
      </c>
      <c r="I616" s="3" t="n">
        <v>400</v>
      </c>
      <c r="J616" s="4" t="n">
        <v>50.1</v>
      </c>
      <c r="K616" s="4">
        <f>IF(ISNUMBER(J616),J616+I616/10,"")</f>
        <v/>
      </c>
      <c r="L616" s="2" t="inlineStr">
        <is>
          <t>3D-model</t>
        </is>
      </c>
      <c r="M616" s="2" t="inlineStr">
        <is>
          <t>Samsung</t>
        </is>
      </c>
      <c r="N616" s="2" t="inlineStr">
        <is>
          <t>Målt på Samsungs 3D-model af tv'et fra samsung.com (modellen for TQ98QN90DATXXC): nederste VESA-hul 50,1 cm fra underkant. Metoden ramte 11 kendte mål med højst 1,2 cm afvigelse. Usikkerhed ca. ±1,5 cm.</t>
        </is>
      </c>
    </row>
    <row r="617">
      <c r="A617" s="2" t="inlineStr">
        <is>
          <t>Samsung</t>
        </is>
      </c>
      <c r="B617" s="2" t="inlineStr">
        <is>
          <t>QN90D</t>
        </is>
      </c>
      <c r="C617" s="2" t="inlineStr">
        <is>
          <t>QN90D 85 Inch 2024 Neo QLED 4K Mini LED AI TV</t>
        </is>
      </c>
      <c r="D617" s="2" t="inlineStr">
        <is>
          <t>QE85QN90DATXXU, TQ85QN90DATXXC, GQ85QN90DATXZG</t>
        </is>
      </c>
      <c r="E617" s="3" t="n">
        <v>85</v>
      </c>
      <c r="F617" s="3" t="n">
        <v>2024</v>
      </c>
      <c r="G617" s="4" t="n">
        <v>108.2</v>
      </c>
      <c r="H617" s="3" t="n">
        <v>600</v>
      </c>
      <c r="I617" s="3" t="n">
        <v>400</v>
      </c>
      <c r="J617" s="4" t="n"/>
      <c r="K617" s="4">
        <f>IF(ISNUMBER(J617),J617+I617/10,"")</f>
        <v/>
      </c>
      <c r="L617" s="2" t="inlineStr">
        <is>
          <t>estimat</t>
        </is>
      </c>
      <c r="M617" s="2" t="inlineStr"/>
      <c r="N617" s="2" t="inlineStr"/>
    </row>
    <row r="618">
      <c r="A618" s="2" t="inlineStr">
        <is>
          <t>Samsung</t>
        </is>
      </c>
      <c r="B618" s="2" t="inlineStr">
        <is>
          <t>QN90D</t>
        </is>
      </c>
      <c r="C618" s="2" t="inlineStr">
        <is>
          <t>QN90D 75 Inch 2024 Neo QLED 4K Mini LED AI TV</t>
        </is>
      </c>
      <c r="D618" s="2" t="inlineStr">
        <is>
          <t>QE75QN90DATXXU, QE75QN90DATXXC, TQ75QN90DATXXC, GQ75QN90DATXZG</t>
        </is>
      </c>
      <c r="E618" s="3" t="n">
        <v>75</v>
      </c>
      <c r="F618" s="3" t="n">
        <v>2024</v>
      </c>
      <c r="G618" s="4" t="n">
        <v>95.7</v>
      </c>
      <c r="H618" s="3" t="n">
        <v>400</v>
      </c>
      <c r="I618" s="3" t="n">
        <v>400</v>
      </c>
      <c r="J618" s="4" t="n">
        <v>30.4</v>
      </c>
      <c r="K618" s="4">
        <f>IF(ISNUMBER(J618),J618+I618/10,"")</f>
        <v/>
      </c>
      <c r="L618" s="2" t="inlineStr">
        <is>
          <t>3D-model</t>
        </is>
      </c>
      <c r="M618" s="2" t="inlineStr">
        <is>
          <t>Samsung</t>
        </is>
      </c>
      <c r="N618" s="2" t="inlineStr">
        <is>
          <t>Målt på Samsungs 3D-model af tv'et fra samsung.com: nederste VESA-hul 30,4 cm fra underkant. Metoden ramte 11 kendte mål med højst 1,2 cm afvigelse. Usikkerhed ca. ±1,5 cm.</t>
        </is>
      </c>
    </row>
    <row r="619">
      <c r="A619" s="2" t="inlineStr">
        <is>
          <t>Samsung</t>
        </is>
      </c>
      <c r="B619" s="2" t="inlineStr">
        <is>
          <t>QN90D</t>
        </is>
      </c>
      <c r="C619" s="2" t="inlineStr">
        <is>
          <t>QN90D 65 Inch 2024 Neo QLED 4K Mini LED AI TV</t>
        </is>
      </c>
      <c r="D619" s="2" t="inlineStr">
        <is>
          <t>QE65QN90DATXXU, QE65QN90DATXXC, TQ65QN90DATXXC, GQ65QN90DATXZG</t>
        </is>
      </c>
      <c r="E619" s="3" t="n">
        <v>65</v>
      </c>
      <c r="F619" s="3" t="n">
        <v>2024</v>
      </c>
      <c r="G619" s="4" t="n">
        <v>82.90000000000001</v>
      </c>
      <c r="H619" s="3" t="n">
        <v>400</v>
      </c>
      <c r="I619" s="3" t="n">
        <v>300</v>
      </c>
      <c r="J619" s="4" t="n"/>
      <c r="K619" s="4">
        <f>IF(ISNUMBER(J619),J619+I619/10,"")</f>
        <v/>
      </c>
      <c r="L619" s="2" t="inlineStr">
        <is>
          <t>estimat</t>
        </is>
      </c>
      <c r="M619" s="2" t="inlineStr"/>
      <c r="N619" s="2" t="inlineStr"/>
    </row>
    <row r="620">
      <c r="A620" s="2" t="inlineStr">
        <is>
          <t>Samsung</t>
        </is>
      </c>
      <c r="B620" s="2" t="inlineStr">
        <is>
          <t>QN90D</t>
        </is>
      </c>
      <c r="C620" s="2" t="inlineStr">
        <is>
          <t>QN90D 55 Inch 2024 Neo QLED 4K Mini LED AI TV</t>
        </is>
      </c>
      <c r="D620" s="2" t="inlineStr">
        <is>
          <t>QE55QN90DATXXU, QE55QN90DATXXC, TQ55QN90DATXXC, GQ55QN90DATXZG</t>
        </is>
      </c>
      <c r="E620" s="3" t="n">
        <v>55</v>
      </c>
      <c r="F620" s="3" t="n">
        <v>2024</v>
      </c>
      <c r="G620" s="4" t="n">
        <v>70.59999999999999</v>
      </c>
      <c r="H620" s="3" t="n">
        <v>200</v>
      </c>
      <c r="I620" s="3" t="n">
        <v>200</v>
      </c>
      <c r="J620" s="4" t="n"/>
      <c r="K620" s="4">
        <f>IF(ISNUMBER(J620),J620+I620/10,"")</f>
        <v/>
      </c>
      <c r="L620" s="2" t="inlineStr">
        <is>
          <t>estimat</t>
        </is>
      </c>
      <c r="M620" s="2" t="inlineStr"/>
      <c r="N620" s="2" t="inlineStr"/>
    </row>
    <row r="621">
      <c r="A621" s="2" t="inlineStr">
        <is>
          <t>Samsung</t>
        </is>
      </c>
      <c r="B621" s="2" t="inlineStr">
        <is>
          <t>QN90D</t>
        </is>
      </c>
      <c r="C621" s="2" t="inlineStr">
        <is>
          <t>QN90D (2024)</t>
        </is>
      </c>
      <c r="D621" s="2" t="inlineStr">
        <is>
          <t>QE50QN90DATXXC, QE50QN90D</t>
        </is>
      </c>
      <c r="E621" s="3" t="n">
        <v>50</v>
      </c>
      <c r="F621" s="3" t="n">
        <v>2024</v>
      </c>
      <c r="G621" s="4" t="n">
        <v>64</v>
      </c>
      <c r="H621" s="3" t="n">
        <v>200</v>
      </c>
      <c r="I621" s="3" t="n">
        <v>200</v>
      </c>
      <c r="J621" s="4" t="n">
        <v>24</v>
      </c>
      <c r="K621" s="4">
        <f>IF(ISNUMBER(J621),J621+I621/10,"")</f>
        <v/>
      </c>
      <c r="L621" s="2" t="inlineStr">
        <is>
          <t>kundemålt</t>
        </is>
      </c>
      <c r="M621" s="2" t="inlineStr"/>
      <c r="N621" s="2" t="inlineStr">
        <is>
          <t>Kundemålt 21/9-2026 (nederste hul 24 cm fra underkant). 3D-kontrol (Samsungs 3D-model): 22,8 cm.</t>
        </is>
      </c>
    </row>
    <row r="622">
      <c r="A622" s="2" t="inlineStr">
        <is>
          <t>Samsung</t>
        </is>
      </c>
      <c r="B622" s="2" t="inlineStr">
        <is>
          <t>QN90D</t>
        </is>
      </c>
      <c r="C622" s="2" t="inlineStr">
        <is>
          <t>QN90D 50 Inch 2024 Neo QLED 4K Mini LED AI TV</t>
        </is>
      </c>
      <c r="D622" s="2" t="inlineStr">
        <is>
          <t>QE50QN90DATXXU, TQ50QN90DATXXC, GQ50QN90DATXZG</t>
        </is>
      </c>
      <c r="E622" s="3" t="n">
        <v>50</v>
      </c>
      <c r="F622" s="3" t="n">
        <v>2024</v>
      </c>
      <c r="G622" s="4" t="n">
        <v>64.40000000000001</v>
      </c>
      <c r="H622" s="3" t="n">
        <v>200</v>
      </c>
      <c r="I622" s="3" t="n">
        <v>200</v>
      </c>
      <c r="J622" s="4" t="n">
        <v>24</v>
      </c>
      <c r="K622" s="4">
        <f>IF(ISNUMBER(J622),J622+I622/10,"")</f>
        <v/>
      </c>
      <c r="L622" s="2" t="inlineStr">
        <is>
          <t>kundemålt</t>
        </is>
      </c>
      <c r="M622" s="2" t="inlineStr"/>
      <c r="N622" s="2" t="inlineStr">
        <is>
          <t>Kundemålt 21/9-2026. 3D-kontrol (Samsungs 3D-model): 22,8 cm.</t>
        </is>
      </c>
    </row>
    <row r="623">
      <c r="A623" s="2" t="inlineStr">
        <is>
          <t>Samsung</t>
        </is>
      </c>
      <c r="B623" s="2" t="inlineStr">
        <is>
          <t>QN90D</t>
        </is>
      </c>
      <c r="C623" s="2" t="inlineStr">
        <is>
          <t>QN90D 43 Inch 2024 Neo QLED 4K Mini LED AI TV</t>
        </is>
      </c>
      <c r="D623" s="2" t="inlineStr">
        <is>
          <t>QE43QN90DATXXU, TQ43QN90DATXXC, GQ43QN90DATXZG</t>
        </is>
      </c>
      <c r="E623" s="3" t="n">
        <v>43</v>
      </c>
      <c r="F623" s="3" t="n">
        <v>2024</v>
      </c>
      <c r="G623" s="4" t="n">
        <v>55.9</v>
      </c>
      <c r="H623" s="3" t="n">
        <v>200</v>
      </c>
      <c r="I623" s="3" t="n">
        <v>200</v>
      </c>
      <c r="J623" s="4" t="n"/>
      <c r="K623" s="4">
        <f>IF(ISNUMBER(J623),J623+I623/10,"")</f>
        <v/>
      </c>
      <c r="L623" s="2" t="inlineStr">
        <is>
          <t>estimat</t>
        </is>
      </c>
      <c r="M623" s="2" t="inlineStr"/>
      <c r="N623" s="2" t="inlineStr"/>
    </row>
    <row r="624">
      <c r="A624" s="2" t="inlineStr">
        <is>
          <t>Samsung</t>
        </is>
      </c>
      <c r="B624" s="2" t="inlineStr">
        <is>
          <t>QN90F</t>
        </is>
      </c>
      <c r="C624" s="2" t="inlineStr">
        <is>
          <t>2025 QN90F 115 inch 4K Neo QLED Mini LED Vision AI TV</t>
        </is>
      </c>
      <c r="D624" s="2" t="inlineStr">
        <is>
          <t>QE115QN90FTXXU</t>
        </is>
      </c>
      <c r="E624" s="3" t="n">
        <v>115</v>
      </c>
      <c r="F624" s="3" t="n">
        <v>2025</v>
      </c>
      <c r="G624" s="4" t="n">
        <v>146.8</v>
      </c>
      <c r="H624" s="3" t="n">
        <v>1000</v>
      </c>
      <c r="I624" s="3" t="n">
        <v>600</v>
      </c>
      <c r="J624" s="4" t="n"/>
      <c r="K624" s="4">
        <f>IF(ISNUMBER(J624),J624+I624/10,"")</f>
        <v/>
      </c>
      <c r="L624" s="2" t="inlineStr">
        <is>
          <t>estimat</t>
        </is>
      </c>
      <c r="M624" s="2" t="inlineStr"/>
      <c r="N624" s="2" t="inlineStr"/>
    </row>
    <row r="625">
      <c r="A625" s="2" t="inlineStr">
        <is>
          <t>Samsung</t>
        </is>
      </c>
      <c r="B625" s="2" t="inlineStr">
        <is>
          <t>QN90F</t>
        </is>
      </c>
      <c r="C625" s="2" t="inlineStr">
        <is>
          <t>2025 QN90F 98 inch 4K Neo QLED Mini LED Vision AI TV</t>
        </is>
      </c>
      <c r="D625" s="2" t="inlineStr">
        <is>
          <t>QE98QN90FATXXU</t>
        </is>
      </c>
      <c r="E625" s="3" t="n">
        <v>98</v>
      </c>
      <c r="F625" s="3" t="n">
        <v>2025</v>
      </c>
      <c r="G625" s="4" t="n">
        <v>124.9</v>
      </c>
      <c r="H625" s="3" t="n">
        <v>600</v>
      </c>
      <c r="I625" s="3" t="n">
        <v>400</v>
      </c>
      <c r="J625" s="4" t="n">
        <v>50.1</v>
      </c>
      <c r="K625" s="4">
        <f>IF(ISNUMBER(J625),J625+I625/10,"")</f>
        <v/>
      </c>
      <c r="L625" s="2" t="inlineStr">
        <is>
          <t>3D-model</t>
        </is>
      </c>
      <c r="M625" s="2" t="inlineStr">
        <is>
          <t>Samsung</t>
        </is>
      </c>
      <c r="N625" s="2" t="inlineStr">
        <is>
          <t>Målt på Samsungs 3D-model af tv'et fra samsung.com (modellen for QE98QN90FATXXN): nederste VESA-hul 50,1 cm fra underkant. Metoden ramte 11 kendte mål med højst 1,2 cm afvigelse. Usikkerhed ca. ±1,5 cm.</t>
        </is>
      </c>
    </row>
    <row r="626">
      <c r="A626" s="2" t="inlineStr">
        <is>
          <t>Samsung</t>
        </is>
      </c>
      <c r="B626" s="2" t="inlineStr">
        <is>
          <t>QN90F</t>
        </is>
      </c>
      <c r="C626" s="2" t="inlineStr">
        <is>
          <t>2025 QN90F 85 inch 4K Neo QLED Mini LED Vision AI TV</t>
        </is>
      </c>
      <c r="D626" s="2" t="inlineStr">
        <is>
          <t>QE85QN90FATXXU, QE85QN90FATXXN, TQ85QN90FATXXC, GQ85QN90FATXZG, QE85QN90FATXZT</t>
        </is>
      </c>
      <c r="E626" s="3" t="n">
        <v>85</v>
      </c>
      <c r="F626" s="3" t="n">
        <v>2025</v>
      </c>
      <c r="G626" s="4" t="n">
        <v>108.2</v>
      </c>
      <c r="H626" s="3" t="n">
        <v>600</v>
      </c>
      <c r="I626" s="3" t="n">
        <v>400</v>
      </c>
      <c r="J626" s="4" t="n"/>
      <c r="K626" s="4">
        <f>IF(ISNUMBER(J626),J626+I626/10,"")</f>
        <v/>
      </c>
      <c r="L626" s="2" t="inlineStr">
        <is>
          <t>estimat</t>
        </is>
      </c>
      <c r="M626" s="2" t="inlineStr"/>
      <c r="N626" s="2" t="inlineStr"/>
    </row>
    <row r="627">
      <c r="A627" s="2" t="inlineStr">
        <is>
          <t>Samsung</t>
        </is>
      </c>
      <c r="B627" s="2" t="inlineStr">
        <is>
          <t>QN90F</t>
        </is>
      </c>
      <c r="C627" s="2" t="inlineStr">
        <is>
          <t>2025 QN90F 75 inch 4K Neo QLED Mini LED Vision AI TV</t>
        </is>
      </c>
      <c r="D627" s="2" t="inlineStr">
        <is>
          <t>QE75QN90FATXXU, QE75QN90FATXXN, TQ75QN90FATXXC, GQ75QN90FATXZG, QE75QN90FATXZT</t>
        </is>
      </c>
      <c r="E627" s="3" t="n">
        <v>75</v>
      </c>
      <c r="F627" s="3" t="n">
        <v>2025</v>
      </c>
      <c r="G627" s="4" t="n">
        <v>95.7</v>
      </c>
      <c r="H627" s="3" t="n">
        <v>400</v>
      </c>
      <c r="I627" s="3" t="n">
        <v>400</v>
      </c>
      <c r="J627" s="4" t="n">
        <v>30.4</v>
      </c>
      <c r="K627" s="4">
        <f>IF(ISNUMBER(J627),J627+I627/10,"")</f>
        <v/>
      </c>
      <c r="L627" s="2" t="inlineStr">
        <is>
          <t>3D-model</t>
        </is>
      </c>
      <c r="M627" s="2" t="inlineStr">
        <is>
          <t>Samsung</t>
        </is>
      </c>
      <c r="N627" s="2" t="inlineStr">
        <is>
          <t>Målt på Samsungs 3D-model af tv'et fra samsung.com: nederste VESA-hul 30,4 cm fra underkant. Metoden ramte 11 kendte mål med højst 1,2 cm afvigelse. Usikkerhed ca. ±1,5 cm.</t>
        </is>
      </c>
    </row>
    <row r="628">
      <c r="A628" s="2" t="inlineStr">
        <is>
          <t>Samsung</t>
        </is>
      </c>
      <c r="B628" s="2" t="inlineStr">
        <is>
          <t>QN90F</t>
        </is>
      </c>
      <c r="C628" s="2" t="inlineStr">
        <is>
          <t>2025 QN90F 65 inch 4K Neo QLED Mini LED Vision AI TV</t>
        </is>
      </c>
      <c r="D628" s="2" t="inlineStr">
        <is>
          <t>QE65QN90FATXXU, QE65QN90FATXXN, TQ65QN90FATXXC, GQ65QN90FATXZG, QE65QN90FATXZT</t>
        </is>
      </c>
      <c r="E628" s="3" t="n">
        <v>65</v>
      </c>
      <c r="F628" s="3" t="n">
        <v>2025</v>
      </c>
      <c r="G628" s="4" t="n">
        <v>82.90000000000001</v>
      </c>
      <c r="H628" s="3" t="n">
        <v>400</v>
      </c>
      <c r="I628" s="3" t="n">
        <v>300</v>
      </c>
      <c r="J628" s="4" t="n"/>
      <c r="K628" s="4">
        <f>IF(ISNUMBER(J628),J628+I628/10,"")</f>
        <v/>
      </c>
      <c r="L628" s="2" t="inlineStr">
        <is>
          <t>estimat</t>
        </is>
      </c>
      <c r="M628" s="2" t="inlineStr"/>
      <c r="N628" s="2" t="inlineStr"/>
    </row>
    <row r="629">
      <c r="A629" s="2" t="inlineStr">
        <is>
          <t>Samsung</t>
        </is>
      </c>
      <c r="B629" s="2" t="inlineStr">
        <is>
          <t>QN90F</t>
        </is>
      </c>
      <c r="C629" s="2" t="inlineStr">
        <is>
          <t>2025 QN90F 55 inch 4K Neo QLED Mini LED Vision AI TV</t>
        </is>
      </c>
      <c r="D629" s="2" t="inlineStr">
        <is>
          <t>QE55QN90FATXXU, QE55QN90FATXXN, TQ55QN90FATXXC, GQ55QN90FATXZG, QE55QN90FATXZT</t>
        </is>
      </c>
      <c r="E629" s="3" t="n">
        <v>55</v>
      </c>
      <c r="F629" s="3" t="n">
        <v>2025</v>
      </c>
      <c r="G629" s="4" t="n">
        <v>70.59999999999999</v>
      </c>
      <c r="H629" s="3" t="n">
        <v>200</v>
      </c>
      <c r="I629" s="3" t="n">
        <v>200</v>
      </c>
      <c r="J629" s="4" t="n">
        <v>26.1</v>
      </c>
      <c r="K629" s="4">
        <f>IF(ISNUMBER(J629),J629+I629/10,"")</f>
        <v/>
      </c>
      <c r="L629" s="2" t="inlineStr">
        <is>
          <t>billedmålt</t>
        </is>
      </c>
      <c r="M629" s="2" t="inlineStr">
        <is>
          <t>Which?</t>
        </is>
      </c>
      <c r="N629" s="2" t="inlineStr">
        <is>
          <t>Billedmålt på Which?-foto (samsung-qe55qn90fatxxu): nederste VESA-hul 26,1 cm fra underkant, målt ud fra VESA 200×200 som skala. Usikkerhed ca. ±1 cm.</t>
        </is>
      </c>
    </row>
    <row r="630">
      <c r="A630" s="2" t="inlineStr">
        <is>
          <t>Samsung</t>
        </is>
      </c>
      <c r="B630" s="2" t="inlineStr">
        <is>
          <t>QN90F</t>
        </is>
      </c>
      <c r="C630" s="2" t="inlineStr">
        <is>
          <t>2025 QN90F 50 inch 4K Neo QLED Mini LED Vision AI TV</t>
        </is>
      </c>
      <c r="D630" s="2" t="inlineStr">
        <is>
          <t>QE50QN90FATXXU, QE50QN90FATXXN, TQ50QN90FATXXC, GQ50QN90FATXZG, QE50QN90FATXZT</t>
        </is>
      </c>
      <c r="E630" s="3" t="n">
        <v>50</v>
      </c>
      <c r="F630" s="3" t="n">
        <v>2025</v>
      </c>
      <c r="G630" s="4" t="n">
        <v>64.40000000000001</v>
      </c>
      <c r="H630" s="3" t="n">
        <v>200</v>
      </c>
      <c r="I630" s="3" t="n">
        <v>200</v>
      </c>
      <c r="J630" s="4" t="n">
        <v>23.2</v>
      </c>
      <c r="K630" s="4">
        <f>IF(ISNUMBER(J630),J630+I630/10,"")</f>
        <v/>
      </c>
      <c r="L630" s="2" t="inlineStr">
        <is>
          <t>billedmålt</t>
        </is>
      </c>
      <c r="M630" s="2" t="inlineStr">
        <is>
          <t>Which?</t>
        </is>
      </c>
      <c r="N630" s="2" t="inlineStr">
        <is>
          <t>Billedmålt på Which?-foto (samsung-qe50qn90fatxxu): nederste VESA-hul 23,2 cm fra underkant, målt ud fra VESA 200×200 som skala. Usikkerhed ca. ±1 cm.</t>
        </is>
      </c>
    </row>
    <row r="631">
      <c r="A631" s="2" t="inlineStr">
        <is>
          <t>Samsung</t>
        </is>
      </c>
      <c r="B631" s="2" t="inlineStr">
        <is>
          <t>QN90F</t>
        </is>
      </c>
      <c r="C631" s="2" t="inlineStr">
        <is>
          <t>2025 QN90F 43 inch 4K Neo QLED Mini LED Vision AI TV</t>
        </is>
      </c>
      <c r="D631" s="2" t="inlineStr">
        <is>
          <t>QE43QN90FATXXU, QE43QN90FATXXN, TQ43QN90FATXXC, GQ43QN90FATXZG, QE43QN90FATXZT</t>
        </is>
      </c>
      <c r="E631" s="3" t="n">
        <v>43</v>
      </c>
      <c r="F631" s="3" t="n">
        <v>2025</v>
      </c>
      <c r="G631" s="4" t="n">
        <v>55.9</v>
      </c>
      <c r="H631" s="3" t="n">
        <v>200</v>
      </c>
      <c r="I631" s="3" t="n">
        <v>200</v>
      </c>
      <c r="J631" s="4" t="n">
        <v>16.5</v>
      </c>
      <c r="K631" s="4">
        <f>IF(ISNUMBER(J631),J631+I631/10,"")</f>
        <v/>
      </c>
      <c r="L631" s="2" t="inlineStr">
        <is>
          <t>billedmålt</t>
        </is>
      </c>
      <c r="M631" s="2" t="inlineStr">
        <is>
          <t>Which?</t>
        </is>
      </c>
      <c r="N631" s="2" t="inlineStr">
        <is>
          <t>Billedmålt på Which?-foto (samsung-qe43qn90fatxxu): nederste VESA-hul 16,5 cm fra underkant, målt ud fra VESA 200×200 som skala. Usikkerhed ca. ±1 cm.</t>
        </is>
      </c>
    </row>
    <row r="632">
      <c r="A632" s="2" t="inlineStr">
        <is>
          <t>Samsung</t>
        </is>
      </c>
      <c r="B632" s="2" t="inlineStr">
        <is>
          <t>QN93D</t>
        </is>
      </c>
      <c r="C632" s="2" t="inlineStr">
        <is>
          <t>QN93D 85 Inch 2024 Neo QLED 4K AI Mini LED TV</t>
        </is>
      </c>
      <c r="D632" s="2" t="inlineStr">
        <is>
          <t>QE85QN93DATXXU, QE85QN93DATXXN, GQ85QN93DATXZG</t>
        </is>
      </c>
      <c r="E632" s="3" t="n">
        <v>85</v>
      </c>
      <c r="F632" s="3" t="n">
        <v>2024</v>
      </c>
      <c r="G632" s="4" t="n">
        <v>108.2</v>
      </c>
      <c r="H632" s="3" t="n">
        <v>600</v>
      </c>
      <c r="I632" s="3" t="n">
        <v>400</v>
      </c>
      <c r="J632" s="4" t="n"/>
      <c r="K632" s="4">
        <f>IF(ISNUMBER(J632),J632+I632/10,"")</f>
        <v/>
      </c>
      <c r="L632" s="2" t="inlineStr">
        <is>
          <t>estimat</t>
        </is>
      </c>
      <c r="M632" s="2" t="inlineStr"/>
      <c r="N632" s="2" t="inlineStr"/>
    </row>
    <row r="633">
      <c r="A633" s="2" t="inlineStr">
        <is>
          <t>Samsung</t>
        </is>
      </c>
      <c r="B633" s="2" t="inlineStr">
        <is>
          <t>QN93D</t>
        </is>
      </c>
      <c r="C633" s="2" t="inlineStr">
        <is>
          <t>QN93D 75 Inch 2024 Neo QLED 4K AI Mini LED TV</t>
        </is>
      </c>
      <c r="D633" s="2" t="inlineStr">
        <is>
          <t>QE75QN93DATXXU, QE75QN93DATXXN, GQ75QN93DATXZG</t>
        </is>
      </c>
      <c r="E633" s="3" t="n">
        <v>75</v>
      </c>
      <c r="F633" s="3" t="n">
        <v>2024</v>
      </c>
      <c r="G633" s="4" t="n">
        <v>95.7</v>
      </c>
      <c r="H633" s="3" t="n">
        <v>400</v>
      </c>
      <c r="I633" s="3" t="n">
        <v>400</v>
      </c>
      <c r="J633" s="4" t="n"/>
      <c r="K633" s="4">
        <f>IF(ISNUMBER(J633),J633+I633/10,"")</f>
        <v/>
      </c>
      <c r="L633" s="2" t="inlineStr">
        <is>
          <t>estimat</t>
        </is>
      </c>
      <c r="M633" s="2" t="inlineStr"/>
      <c r="N633" s="2" t="inlineStr"/>
    </row>
    <row r="634">
      <c r="A634" s="2" t="inlineStr">
        <is>
          <t>Samsung</t>
        </is>
      </c>
      <c r="B634" s="2" t="inlineStr">
        <is>
          <t>QN93D</t>
        </is>
      </c>
      <c r="C634" s="2" t="inlineStr">
        <is>
          <t>QN93D 65 Inch 2024 Neo QLED 4K AI Mini LED TV</t>
        </is>
      </c>
      <c r="D634" s="2" t="inlineStr">
        <is>
          <t>QE65QN93DATXXU, QE65QN93DATXXN, GQ65QN93DATXZG</t>
        </is>
      </c>
      <c r="E634" s="3" t="n">
        <v>65</v>
      </c>
      <c r="F634" s="3" t="n">
        <v>2024</v>
      </c>
      <c r="G634" s="4" t="n">
        <v>82.90000000000001</v>
      </c>
      <c r="H634" s="3" t="n">
        <v>400</v>
      </c>
      <c r="I634" s="3" t="n">
        <v>300</v>
      </c>
      <c r="J634" s="4" t="n"/>
      <c r="K634" s="4">
        <f>IF(ISNUMBER(J634),J634+I634/10,"")</f>
        <v/>
      </c>
      <c r="L634" s="2" t="inlineStr">
        <is>
          <t>estimat</t>
        </is>
      </c>
      <c r="M634" s="2" t="inlineStr"/>
      <c r="N634" s="2" t="inlineStr"/>
    </row>
    <row r="635">
      <c r="A635" s="2" t="inlineStr">
        <is>
          <t>Samsung</t>
        </is>
      </c>
      <c r="B635" s="2" t="inlineStr">
        <is>
          <t>QN93D</t>
        </is>
      </c>
      <c r="C635" s="2" t="inlineStr">
        <is>
          <t>QN93D 55 Inch 2024 Neo QLED 4K AI Mini LED TV</t>
        </is>
      </c>
      <c r="D635" s="2" t="inlineStr">
        <is>
          <t>QE55QN93DATXXU, QE55QN93DATXXN, GQ55QN93DATXZG</t>
        </is>
      </c>
      <c r="E635" s="3" t="n">
        <v>55</v>
      </c>
      <c r="F635" s="3" t="n">
        <v>2024</v>
      </c>
      <c r="G635" s="4" t="n">
        <v>70.59999999999999</v>
      </c>
      <c r="H635" s="3" t="n">
        <v>200</v>
      </c>
      <c r="I635" s="3" t="n">
        <v>200</v>
      </c>
      <c r="J635" s="4" t="n"/>
      <c r="K635" s="4">
        <f>IF(ISNUMBER(J635),J635+I635/10,"")</f>
        <v/>
      </c>
      <c r="L635" s="2" t="inlineStr">
        <is>
          <t>estimat</t>
        </is>
      </c>
      <c r="M635" s="2" t="inlineStr"/>
      <c r="N635" s="2" t="inlineStr"/>
    </row>
    <row r="636">
      <c r="A636" s="2" t="inlineStr">
        <is>
          <t>Samsung</t>
        </is>
      </c>
      <c r="B636" s="2" t="inlineStr">
        <is>
          <t>QN93D</t>
        </is>
      </c>
      <c r="C636" s="2" t="inlineStr">
        <is>
          <t>QN93D 50 Inch 2024 Neo QLED 4K AI Mini LED TV</t>
        </is>
      </c>
      <c r="D636" s="2" t="inlineStr">
        <is>
          <t>QE50QN93DATXXU, QE50QN93DATXXN, GQ50QN93DATXZG</t>
        </is>
      </c>
      <c r="E636" s="3" t="n">
        <v>50</v>
      </c>
      <c r="F636" s="3" t="n">
        <v>2024</v>
      </c>
      <c r="G636" s="4" t="n">
        <v>64.40000000000001</v>
      </c>
      <c r="H636" s="3" t="n">
        <v>200</v>
      </c>
      <c r="I636" s="3" t="n">
        <v>200</v>
      </c>
      <c r="J636" s="4" t="n">
        <v>22.8</v>
      </c>
      <c r="K636" s="4">
        <f>IF(ISNUMBER(J636),J636+I636/10,"")</f>
        <v/>
      </c>
      <c r="L636" s="2" t="inlineStr">
        <is>
          <t>3D-model</t>
        </is>
      </c>
      <c r="M636" s="2" t="inlineStr">
        <is>
          <t>Samsung</t>
        </is>
      </c>
      <c r="N636" s="2" t="inlineStr">
        <is>
          <t>Målt på Samsungs 3D-model af tv'et fra samsung.com: nederste VESA-hul 22,8 cm fra underkant. Metoden ramte 11 kendte mål med højst 1,2 cm afvigelse. Usikkerhed ca. ±1,5 cm.</t>
        </is>
      </c>
    </row>
    <row r="637">
      <c r="A637" s="2" t="inlineStr">
        <is>
          <t>Samsung</t>
        </is>
      </c>
      <c r="B637" s="2" t="inlineStr">
        <is>
          <t>QN93D</t>
        </is>
      </c>
      <c r="C637" s="2" t="inlineStr">
        <is>
          <t>QN93D 43 Inch 2024 Neo QLED 4K AI Mini LED TV</t>
        </is>
      </c>
      <c r="D637" s="2" t="inlineStr">
        <is>
          <t>QE43QN93DATXXU, QE43QN93DATXXN, GQ43QN93DATXZG</t>
        </is>
      </c>
      <c r="E637" s="3" t="n">
        <v>43</v>
      </c>
      <c r="F637" s="3" t="n">
        <v>2024</v>
      </c>
      <c r="G637" s="4" t="n">
        <v>55.9</v>
      </c>
      <c r="H637" s="3" t="n">
        <v>200</v>
      </c>
      <c r="I637" s="3" t="n">
        <v>200</v>
      </c>
      <c r="J637" s="4" t="n"/>
      <c r="K637" s="4">
        <f>IF(ISNUMBER(J637),J637+I637/10,"")</f>
        <v/>
      </c>
      <c r="L637" s="2" t="inlineStr">
        <is>
          <t>estimat</t>
        </is>
      </c>
      <c r="M637" s="2" t="inlineStr"/>
      <c r="N637" s="2" t="inlineStr"/>
    </row>
    <row r="638">
      <c r="A638" s="2" t="inlineStr">
        <is>
          <t>Samsung</t>
        </is>
      </c>
      <c r="B638" s="2" t="inlineStr">
        <is>
          <t>QN93F</t>
        </is>
      </c>
      <c r="C638" s="2" t="inlineStr">
        <is>
          <t>2025 QN93F 98 inch 4K Neo QLED Mini LED Vision AI TV</t>
        </is>
      </c>
      <c r="D638" s="2" t="inlineStr">
        <is>
          <t>QE98QN93FATXXU</t>
        </is>
      </c>
      <c r="E638" s="3" t="n">
        <v>98</v>
      </c>
      <c r="F638" s="3" t="n">
        <v>2025</v>
      </c>
      <c r="G638" s="4" t="n">
        <v>124.9</v>
      </c>
      <c r="H638" s="3" t="n">
        <v>600</v>
      </c>
      <c r="I638" s="3" t="n">
        <v>400</v>
      </c>
      <c r="J638" s="4" t="n">
        <v>50.1</v>
      </c>
      <c r="K638" s="4">
        <f>IF(ISNUMBER(J638),J638+I638/10,"")</f>
        <v/>
      </c>
      <c r="L638" s="2" t="inlineStr">
        <is>
          <t>3D-model</t>
        </is>
      </c>
      <c r="M638" s="2" t="inlineStr">
        <is>
          <t>Samsung</t>
        </is>
      </c>
      <c r="N638" s="2" t="inlineStr">
        <is>
          <t>Målt på Samsungs 3D-model af tv'et fra samsung.com: nederste VESA-hul 50,1 cm fra underkant. Metoden ramte 11 kendte mål med højst 1,2 cm afvigelse. Usikkerhed ca. ±1,5 cm.</t>
        </is>
      </c>
    </row>
    <row r="639">
      <c r="A639" s="2" t="inlineStr">
        <is>
          <t>Samsung</t>
        </is>
      </c>
      <c r="B639" s="2" t="inlineStr">
        <is>
          <t>QN93F</t>
        </is>
      </c>
      <c r="C639" s="2" t="inlineStr">
        <is>
          <t>2025 QN93F 85 inch 4K Neo QLED Mini LED Vision AI TV</t>
        </is>
      </c>
      <c r="D639" s="2" t="inlineStr">
        <is>
          <t>QE85QN93FATXXU, GQ85QN93FATXZG</t>
        </is>
      </c>
      <c r="E639" s="3" t="n">
        <v>85</v>
      </c>
      <c r="F639" s="3" t="n">
        <v>2025</v>
      </c>
      <c r="G639" s="4" t="n">
        <v>108.2</v>
      </c>
      <c r="H639" s="3" t="n">
        <v>600</v>
      </c>
      <c r="I639" s="3" t="n">
        <v>400</v>
      </c>
      <c r="J639" s="4" t="n"/>
      <c r="K639" s="4">
        <f>IF(ISNUMBER(J639),J639+I639/10,"")</f>
        <v/>
      </c>
      <c r="L639" s="2" t="inlineStr">
        <is>
          <t>estimat</t>
        </is>
      </c>
      <c r="M639" s="2" t="inlineStr"/>
      <c r="N639" s="2" t="inlineStr"/>
    </row>
    <row r="640">
      <c r="A640" s="2" t="inlineStr">
        <is>
          <t>Samsung</t>
        </is>
      </c>
      <c r="B640" s="2" t="inlineStr">
        <is>
          <t>QN93F</t>
        </is>
      </c>
      <c r="C640" s="2" t="inlineStr">
        <is>
          <t>2025 QN93F 75 inch 4K Neo QLED Mini LED Vision AI TV</t>
        </is>
      </c>
      <c r="D640" s="2" t="inlineStr">
        <is>
          <t>QE75QN93FATXXU, QE75QN93FATXXN, GQ75QN93FATXZG</t>
        </is>
      </c>
      <c r="E640" s="3" t="n">
        <v>75</v>
      </c>
      <c r="F640" s="3" t="n">
        <v>2025</v>
      </c>
      <c r="G640" s="4" t="n">
        <v>95.7</v>
      </c>
      <c r="H640" s="3" t="n">
        <v>400</v>
      </c>
      <c r="I640" s="3" t="n">
        <v>400</v>
      </c>
      <c r="J640" s="4" t="n">
        <v>30.4</v>
      </c>
      <c r="K640" s="4">
        <f>IF(ISNUMBER(J640),J640+I640/10,"")</f>
        <v/>
      </c>
      <c r="L640" s="2" t="inlineStr">
        <is>
          <t>3D-model</t>
        </is>
      </c>
      <c r="M640" s="2" t="inlineStr">
        <is>
          <t>Samsung</t>
        </is>
      </c>
      <c r="N640" s="2" t="inlineStr">
        <is>
          <t>Målt på Samsungs 3D-model af tv'et fra samsung.com: nederste VESA-hul 30,4 cm fra underkant. Metoden ramte 11 kendte mål med højst 1,2 cm afvigelse. Usikkerhed ca. ±1,5 cm.</t>
        </is>
      </c>
    </row>
    <row r="641">
      <c r="A641" s="2" t="inlineStr">
        <is>
          <t>Samsung</t>
        </is>
      </c>
      <c r="B641" s="2" t="inlineStr">
        <is>
          <t>QN93F</t>
        </is>
      </c>
      <c r="C641" s="2" t="inlineStr">
        <is>
          <t>2025 QN93F 65 inch 4K Neo QLED Mini LED Vision AI TV</t>
        </is>
      </c>
      <c r="D641" s="2" t="inlineStr">
        <is>
          <t>QE65QN93FATXXU, QE65QN93FATXXN, GQ65QN93FATXZG</t>
        </is>
      </c>
      <c r="E641" s="3" t="n">
        <v>65</v>
      </c>
      <c r="F641" s="3" t="n">
        <v>2025</v>
      </c>
      <c r="G641" s="4" t="n">
        <v>82.90000000000001</v>
      </c>
      <c r="H641" s="3" t="n">
        <v>400</v>
      </c>
      <c r="I641" s="3" t="n">
        <v>300</v>
      </c>
      <c r="J641" s="4" t="n"/>
      <c r="K641" s="4">
        <f>IF(ISNUMBER(J641),J641+I641/10,"")</f>
        <v/>
      </c>
      <c r="L641" s="2" t="inlineStr">
        <is>
          <t>estimat</t>
        </is>
      </c>
      <c r="M641" s="2" t="inlineStr"/>
      <c r="N641" s="2" t="inlineStr"/>
    </row>
    <row r="642">
      <c r="A642" s="2" t="inlineStr">
        <is>
          <t>Samsung</t>
        </is>
      </c>
      <c r="B642" s="2" t="inlineStr">
        <is>
          <t>QN93F</t>
        </is>
      </c>
      <c r="C642" s="2" t="inlineStr">
        <is>
          <t>2025 QN93F 55 inch 4K Neo QLED Mini LED Vision AI TV</t>
        </is>
      </c>
      <c r="D642" s="2" t="inlineStr">
        <is>
          <t>QE55QN93FATXXU, QE55QN93FATXXN, GQ55QN93FATXZG</t>
        </is>
      </c>
      <c r="E642" s="3" t="n">
        <v>55</v>
      </c>
      <c r="F642" s="3" t="n">
        <v>2025</v>
      </c>
      <c r="G642" s="4" t="n">
        <v>70.59999999999999</v>
      </c>
      <c r="H642" s="3" t="n">
        <v>200</v>
      </c>
      <c r="I642" s="3" t="n">
        <v>200</v>
      </c>
      <c r="J642" s="4" t="n">
        <v>26.1</v>
      </c>
      <c r="K642" s="4">
        <f>IF(ISNUMBER(J642),J642+I642/10,"")</f>
        <v/>
      </c>
      <c r="L642" s="2" t="inlineStr">
        <is>
          <t>billedmålt</t>
        </is>
      </c>
      <c r="M642" s="2" t="inlineStr">
        <is>
          <t>Which?</t>
        </is>
      </c>
      <c r="N642" s="2" t="inlineStr">
        <is>
          <t>Billedmålt på Which?-foto (samsung-qe55qn93fatxxu): nederste VESA-hul 26,1 cm fra underkant, målt ud fra VESA 200×200 som skala. Usikkerhed ca. ±1 cm.</t>
        </is>
      </c>
    </row>
    <row r="643">
      <c r="A643" s="2" t="inlineStr">
        <is>
          <t>Samsung</t>
        </is>
      </c>
      <c r="B643" s="2" t="inlineStr">
        <is>
          <t>QN93F</t>
        </is>
      </c>
      <c r="C643" s="2" t="inlineStr">
        <is>
          <t>2025 QN93F 50 inch 4K Neo QLED Mini LED Vision AI TV</t>
        </is>
      </c>
      <c r="D643" s="2" t="inlineStr">
        <is>
          <t>QE50QN93FATXXU, QE50QN93FATXXN, GQ50QN93FATXZG</t>
        </is>
      </c>
      <c r="E643" s="3" t="n">
        <v>50</v>
      </c>
      <c r="F643" s="3" t="n">
        <v>2025</v>
      </c>
      <c r="G643" s="4" t="n">
        <v>64.40000000000001</v>
      </c>
      <c r="H643" s="3" t="n">
        <v>200</v>
      </c>
      <c r="I643" s="3" t="n">
        <v>200</v>
      </c>
      <c r="J643" s="4" t="n">
        <v>23.2</v>
      </c>
      <c r="K643" s="4">
        <f>IF(ISNUMBER(J643),J643+I643/10,"")</f>
        <v/>
      </c>
      <c r="L643" s="2" t="inlineStr">
        <is>
          <t>billedmålt</t>
        </is>
      </c>
      <c r="M643" s="2" t="inlineStr">
        <is>
          <t>Which?</t>
        </is>
      </c>
      <c r="N643" s="2" t="inlineStr">
        <is>
          <t>Billedmålt på Which?-foto (samsung-qe50qn93fatxxu): nederste VESA-hul 23,2 cm fra underkant, målt ud fra VESA 200×200 som skala. Usikkerhed ca. ±1 cm. 3D-kontrol (Samsungs 3D-model): 22,8 cm.</t>
        </is>
      </c>
    </row>
    <row r="644">
      <c r="A644" s="2" t="inlineStr">
        <is>
          <t>Samsung</t>
        </is>
      </c>
      <c r="B644" s="2" t="inlineStr">
        <is>
          <t>QN93F</t>
        </is>
      </c>
      <c r="C644" s="2" t="inlineStr">
        <is>
          <t>2025 QN93F 43 inch 4K Neo QLED Mini LED Vision AI TV</t>
        </is>
      </c>
      <c r="D644" s="2" t="inlineStr">
        <is>
          <t>QE43QN93FATXXU, QE43QN93FATXXN, GQ43QN93FATXZG</t>
        </is>
      </c>
      <c r="E644" s="3" t="n">
        <v>43</v>
      </c>
      <c r="F644" s="3" t="n">
        <v>2025</v>
      </c>
      <c r="G644" s="4" t="n">
        <v>55.9</v>
      </c>
      <c r="H644" s="3" t="n">
        <v>200</v>
      </c>
      <c r="I644" s="3" t="n">
        <v>200</v>
      </c>
      <c r="J644" s="4" t="n">
        <v>16.5</v>
      </c>
      <c r="K644" s="4">
        <f>IF(ISNUMBER(J644),J644+I644/10,"")</f>
        <v/>
      </c>
      <c r="L644" s="2" t="inlineStr">
        <is>
          <t>billedmålt</t>
        </is>
      </c>
      <c r="M644" s="2" t="inlineStr">
        <is>
          <t>Which?</t>
        </is>
      </c>
      <c r="N644" s="2" t="inlineStr">
        <is>
          <t>Billedmålt på Which?-foto (samsung-qe43qn93fatxxu): nederste VESA-hul 16,5 cm fra underkant, målt ud fra VESA 200×200 som skala. Usikkerhed ca. ±1 cm.</t>
        </is>
      </c>
    </row>
    <row r="645">
      <c r="A645" s="2" t="inlineStr">
        <is>
          <t>Samsung</t>
        </is>
      </c>
      <c r="B645" s="2" t="inlineStr">
        <is>
          <t>QN990C</t>
        </is>
      </c>
      <c r="C645" s="2" t="inlineStr">
        <is>
          <t>2023 98 Inch Neo QLED 8K Smart TV QN990C</t>
        </is>
      </c>
      <c r="D645" s="2" t="inlineStr">
        <is>
          <t>QE98QN990CTXXU</t>
        </is>
      </c>
      <c r="E645" s="3" t="n">
        <v>98</v>
      </c>
      <c r="F645" s="3" t="n">
        <v>2023</v>
      </c>
      <c r="G645" s="4" t="n">
        <v>124.5</v>
      </c>
      <c r="H645" s="3" t="n">
        <v>600</v>
      </c>
      <c r="I645" s="3" t="n">
        <v>400</v>
      </c>
      <c r="J645" s="4" t="n"/>
      <c r="K645" s="4">
        <f>IF(ISNUMBER(J645),J645+I645/10,"")</f>
        <v/>
      </c>
      <c r="L645" s="2" t="inlineStr">
        <is>
          <t>estimat</t>
        </is>
      </c>
      <c r="M645" s="2" t="inlineStr"/>
      <c r="N645" s="2" t="inlineStr"/>
    </row>
    <row r="646">
      <c r="A646" s="2" t="inlineStr">
        <is>
          <t>Samsung</t>
        </is>
      </c>
      <c r="B646" s="2" t="inlineStr">
        <is>
          <t>QN990F</t>
        </is>
      </c>
      <c r="C646" s="2" t="inlineStr">
        <is>
          <t>2025 QN990F 98 inch 8K Neo QLED Mini LED Vision AI TV</t>
        </is>
      </c>
      <c r="D646" s="2" t="inlineStr">
        <is>
          <t>QE98QN990FTXXU</t>
        </is>
      </c>
      <c r="E646" s="3" t="n">
        <v>98</v>
      </c>
      <c r="F646" s="3" t="n">
        <v>2025</v>
      </c>
      <c r="G646" s="4" t="n">
        <v>124</v>
      </c>
      <c r="H646" s="3" t="n">
        <v>600</v>
      </c>
      <c r="I646" s="3" t="n">
        <v>400</v>
      </c>
      <c r="J646" s="4" t="n"/>
      <c r="K646" s="4">
        <f>IF(ISNUMBER(J646),J646+I646/10,"")</f>
        <v/>
      </c>
      <c r="L646" s="2" t="inlineStr">
        <is>
          <t>estimat</t>
        </is>
      </c>
      <c r="M646" s="2" t="inlineStr"/>
      <c r="N646" s="2" t="inlineStr"/>
    </row>
    <row r="647">
      <c r="A647" s="2" t="inlineStr">
        <is>
          <t>Samsung</t>
        </is>
      </c>
      <c r="B647" s="2" t="inlineStr">
        <is>
          <t>QN990F</t>
        </is>
      </c>
      <c r="C647" s="2" t="inlineStr">
        <is>
          <t>2025 QN990F 85 inch 8K Neo QLED Mini LED Vision AI TV</t>
        </is>
      </c>
      <c r="D647" s="2" t="inlineStr">
        <is>
          <t>QE85QN990FTXXU, QE85QN990FTXXN, TQ85QN990FTXXC, GQ85QN990FTXZG, QE85QN990FTXZT</t>
        </is>
      </c>
      <c r="E647" s="3" t="n">
        <v>85</v>
      </c>
      <c r="F647" s="3" t="n">
        <v>2025</v>
      </c>
      <c r="G647" s="4" t="n">
        <v>106.7</v>
      </c>
      <c r="H647" s="3" t="n">
        <v>600</v>
      </c>
      <c r="I647" s="3" t="n">
        <v>400</v>
      </c>
      <c r="J647" s="4" t="n"/>
      <c r="K647" s="4">
        <f>IF(ISNUMBER(J647),J647+I647/10,"")</f>
        <v/>
      </c>
      <c r="L647" s="2" t="inlineStr">
        <is>
          <t>estimat</t>
        </is>
      </c>
      <c r="M647" s="2" t="inlineStr"/>
      <c r="N647" s="2" t="inlineStr"/>
    </row>
    <row r="648">
      <c r="A648" s="2" t="inlineStr">
        <is>
          <t>Samsung</t>
        </is>
      </c>
      <c r="B648" s="2" t="inlineStr">
        <is>
          <t>QN990F</t>
        </is>
      </c>
      <c r="C648" s="2" t="inlineStr">
        <is>
          <t>2025 QN990F 75 inch 8K Neo QLED Mini LED Vision AI TV</t>
        </is>
      </c>
      <c r="D648" s="2" t="inlineStr">
        <is>
          <t>QE75QN990FTXXU, QE75QN990FTXXN, TQ75QN990FTXXC, GQ75QN990FTXZG, QE75QN990FTXZT</t>
        </is>
      </c>
      <c r="E648" s="3" t="n">
        <v>75</v>
      </c>
      <c r="F648" s="3" t="n">
        <v>2025</v>
      </c>
      <c r="G648" s="4" t="n">
        <v>94.09999999999999</v>
      </c>
      <c r="H648" s="3" t="n">
        <v>400</v>
      </c>
      <c r="I648" s="3" t="n">
        <v>300</v>
      </c>
      <c r="J648" s="4" t="n">
        <v>44.6</v>
      </c>
      <c r="K648" s="4">
        <f>IF(ISNUMBER(J648),J648+I648/10,"")</f>
        <v/>
      </c>
      <c r="L648" s="2" t="inlineStr">
        <is>
          <t>3D-model</t>
        </is>
      </c>
      <c r="M648" s="2" t="inlineStr">
        <is>
          <t>Samsung</t>
        </is>
      </c>
      <c r="N648" s="2" t="inlineStr">
        <is>
          <t>Målt på Samsungs 3D-model af tv'et fra samsung.com: nederste VESA-hul 44,6 cm fra underkant. Metoden ramte 11 kendte mål med højst 1,2 cm afvigelse. Usikkerhed ca. ±1,5 cm.</t>
        </is>
      </c>
    </row>
    <row r="649">
      <c r="A649" s="2" t="inlineStr">
        <is>
          <t>Samsung</t>
        </is>
      </c>
      <c r="B649" s="2" t="inlineStr">
        <is>
          <t>QN990F</t>
        </is>
      </c>
      <c r="C649" s="2" t="inlineStr">
        <is>
          <t>2025 QN990F 65 inch 8K Neo QLED Mini LED Vision AI TV</t>
        </is>
      </c>
      <c r="D649" s="2" t="inlineStr">
        <is>
          <t>QE65QN990FTXXU, QE65QN990FTXXN, TQ65QN990FTXXC, GQ65QN990FTXZG, QE65QN990FTXZT</t>
        </is>
      </c>
      <c r="E649" s="3" t="n">
        <v>65</v>
      </c>
      <c r="F649" s="3" t="n">
        <v>2025</v>
      </c>
      <c r="G649" s="4" t="n">
        <v>81.5</v>
      </c>
      <c r="H649" s="3" t="n">
        <v>400</v>
      </c>
      <c r="I649" s="3" t="n">
        <v>300</v>
      </c>
      <c r="J649" s="4" t="n"/>
      <c r="K649" s="4">
        <f>IF(ISNUMBER(J649),J649+I649/10,"")</f>
        <v/>
      </c>
      <c r="L649" s="2" t="inlineStr">
        <is>
          <t>estimat</t>
        </is>
      </c>
      <c r="M649" s="2" t="inlineStr"/>
      <c r="N649" s="2" t="inlineStr"/>
    </row>
    <row r="650">
      <c r="A650" s="2" t="inlineStr">
        <is>
          <t>Samsung</t>
        </is>
      </c>
      <c r="B650" s="2" t="inlineStr">
        <is>
          <t>QNX1D</t>
        </is>
      </c>
      <c r="C650" s="2" t="inlineStr">
        <is>
          <t>QNX1D 85 Inch 2024 Neo QLED 4K Mini LED Smart TV</t>
        </is>
      </c>
      <c r="D650" s="2" t="inlineStr">
        <is>
          <t>QE85QNX1DATXXU, TQ85QNX1DATXXC, GQ85QNX1DATXZG</t>
        </is>
      </c>
      <c r="E650" s="3" t="n">
        <v>85</v>
      </c>
      <c r="F650" s="3" t="n">
        <v>2024</v>
      </c>
      <c r="G650" s="4" t="n">
        <v>108.3</v>
      </c>
      <c r="H650" s="3" t="n">
        <v>600</v>
      </c>
      <c r="I650" s="3" t="n">
        <v>400</v>
      </c>
      <c r="J650" s="4" t="n"/>
      <c r="K650" s="4">
        <f>IF(ISNUMBER(J650),J650+I650/10,"")</f>
        <v/>
      </c>
      <c r="L650" s="2" t="inlineStr">
        <is>
          <t>estimat</t>
        </is>
      </c>
      <c r="M650" s="2" t="inlineStr"/>
      <c r="N650" s="2" t="inlineStr"/>
    </row>
    <row r="651">
      <c r="A651" s="2" t="inlineStr">
        <is>
          <t>Samsung</t>
        </is>
      </c>
      <c r="B651" s="2" t="inlineStr">
        <is>
          <t>QNX1D</t>
        </is>
      </c>
      <c r="C651" s="2" t="inlineStr">
        <is>
          <t>QNX1D 75 Inch 2024 Neo QLED 4K Mini LED Smart TV</t>
        </is>
      </c>
      <c r="D651" s="2" t="inlineStr">
        <is>
          <t>QE75QNX1DATXXU, TQ75QNX1DATXXC, GQ75QNX1DATXZG</t>
        </is>
      </c>
      <c r="E651" s="3" t="n">
        <v>75</v>
      </c>
      <c r="F651" s="3" t="n">
        <v>2024</v>
      </c>
      <c r="G651" s="4" t="n">
        <v>95.8</v>
      </c>
      <c r="H651" s="3" t="n">
        <v>400</v>
      </c>
      <c r="I651" s="3" t="n">
        <v>400</v>
      </c>
      <c r="J651" s="4" t="n">
        <v>32.4</v>
      </c>
      <c r="K651" s="4">
        <f>IF(ISNUMBER(J651),J651+I651/10,"")</f>
        <v/>
      </c>
      <c r="L651" s="2" t="inlineStr">
        <is>
          <t>3D-model</t>
        </is>
      </c>
      <c r="M651" s="2" t="inlineStr">
        <is>
          <t>Samsung</t>
        </is>
      </c>
      <c r="N651" s="2" t="inlineStr">
        <is>
          <t>Målt på Samsungs 3D-model af tv'et fra samsung.com: nederste VESA-hul 32,4 cm fra underkant. Metoden ramte 11 kendte mål med højst 1,2 cm afvigelse. Usikkerhed ca. ±1,5 cm.</t>
        </is>
      </c>
    </row>
    <row r="652">
      <c r="A652" s="2" t="inlineStr">
        <is>
          <t>Samsung</t>
        </is>
      </c>
      <c r="B652" s="2" t="inlineStr">
        <is>
          <t>QNX1D</t>
        </is>
      </c>
      <c r="C652" s="2" t="inlineStr">
        <is>
          <t>QNX1D 65 Inch 2024 Neo QLED 4K Mini LED Smart TV</t>
        </is>
      </c>
      <c r="D652" s="2" t="inlineStr">
        <is>
          <t>QE65QNX1DATXXU, TQ65QNX1DATXXC, GQ65QNX1DATXZG</t>
        </is>
      </c>
      <c r="E652" s="3" t="n">
        <v>65</v>
      </c>
      <c r="F652" s="3" t="n">
        <v>2024</v>
      </c>
      <c r="G652" s="4" t="n">
        <v>83</v>
      </c>
      <c r="H652" s="3" t="n">
        <v>400</v>
      </c>
      <c r="I652" s="3" t="n">
        <v>300</v>
      </c>
      <c r="J652" s="4" t="n"/>
      <c r="K652" s="4">
        <f>IF(ISNUMBER(J652),J652+I652/10,"")</f>
        <v/>
      </c>
      <c r="L652" s="2" t="inlineStr">
        <is>
          <t>estimat</t>
        </is>
      </c>
      <c r="M652" s="2" t="inlineStr"/>
      <c r="N652" s="2" t="inlineStr"/>
    </row>
    <row r="653">
      <c r="A653" s="2" t="inlineStr">
        <is>
          <t>Samsung</t>
        </is>
      </c>
      <c r="B653" s="2" t="inlineStr">
        <is>
          <t>QNX1D</t>
        </is>
      </c>
      <c r="C653" s="2" t="inlineStr">
        <is>
          <t>QNX1D 55 Inch 2024 Neo QLED 4K Mini LED Smart TV</t>
        </is>
      </c>
      <c r="D653" s="2" t="inlineStr">
        <is>
          <t>QE55QNX1DATXXU, TQ55QNX1DATXXC, GQ55QNX1DATXZG</t>
        </is>
      </c>
      <c r="E653" s="3" t="n">
        <v>55</v>
      </c>
      <c r="F653" s="3" t="n">
        <v>2024</v>
      </c>
      <c r="G653" s="4" t="n">
        <v>70.59999999999999</v>
      </c>
      <c r="H653" s="3" t="n">
        <v>200</v>
      </c>
      <c r="I653" s="3" t="n">
        <v>200</v>
      </c>
      <c r="J653" s="4" t="n"/>
      <c r="K653" s="4">
        <f>IF(ISNUMBER(J653),J653+I653/10,"")</f>
        <v/>
      </c>
      <c r="L653" s="2" t="inlineStr">
        <is>
          <t>estimat</t>
        </is>
      </c>
      <c r="M653" s="2" t="inlineStr"/>
      <c r="N653" s="2" t="inlineStr"/>
    </row>
    <row r="654">
      <c r="A654" s="2" t="inlineStr">
        <is>
          <t>Samsung</t>
        </is>
      </c>
      <c r="B654" s="2" t="inlineStr">
        <is>
          <t>R95H</t>
        </is>
      </c>
      <c r="C654" s="2" t="inlineStr">
        <is>
          <t>2025 R95H 115 inch Micro RGB Vision AI Smart TV</t>
        </is>
      </c>
      <c r="D654" s="2" t="inlineStr">
        <is>
          <t>RE115MR95FXXU</t>
        </is>
      </c>
      <c r="E654" s="3" t="n">
        <v>115</v>
      </c>
      <c r="F654" s="3" t="n">
        <v>2025</v>
      </c>
      <c r="G654" s="4" t="n">
        <v>147.8</v>
      </c>
      <c r="H654" s="3" t="n">
        <v>1000</v>
      </c>
      <c r="I654" s="3" t="n">
        <v>600</v>
      </c>
      <c r="J654" s="4" t="n"/>
      <c r="K654" s="4">
        <f>IF(ISNUMBER(J654),J654+I654/10,"")</f>
        <v/>
      </c>
      <c r="L654" s="2" t="inlineStr">
        <is>
          <t>estimat</t>
        </is>
      </c>
      <c r="M654" s="2" t="inlineStr"/>
      <c r="N654" s="2" t="inlineStr"/>
    </row>
    <row r="655">
      <c r="A655" s="2" t="inlineStr">
        <is>
          <t>Samsung</t>
        </is>
      </c>
      <c r="B655" s="2" t="inlineStr">
        <is>
          <t>S85D</t>
        </is>
      </c>
      <c r="C655" s="2" t="inlineStr">
        <is>
          <t>S85D 77 Inch 2024 OLED 4K AI TV</t>
        </is>
      </c>
      <c r="D655" s="2" t="inlineStr">
        <is>
          <t>QE77S85DAEXXU, TQ77S85DAEXXC, GQ77S85DAEXZG</t>
        </is>
      </c>
      <c r="E655" s="3" t="n">
        <v>77</v>
      </c>
      <c r="F655" s="3" t="n">
        <v>2024</v>
      </c>
      <c r="G655" s="4" t="n">
        <v>99.09999999999999</v>
      </c>
      <c r="H655" s="3" t="n">
        <v>400</v>
      </c>
      <c r="I655" s="3" t="n">
        <v>300</v>
      </c>
      <c r="J655" s="4" t="n"/>
      <c r="K655" s="4">
        <f>IF(ISNUMBER(J655),J655+I655/10,"")</f>
        <v/>
      </c>
      <c r="L655" s="2" t="inlineStr">
        <is>
          <t>estimat</t>
        </is>
      </c>
      <c r="M655" s="2" t="inlineStr"/>
      <c r="N655" s="2" t="inlineStr"/>
    </row>
    <row r="656">
      <c r="A656" s="2" t="inlineStr">
        <is>
          <t>Samsung</t>
        </is>
      </c>
      <c r="B656" s="2" t="inlineStr">
        <is>
          <t>S85D</t>
        </is>
      </c>
      <c r="C656" s="2" t="inlineStr">
        <is>
          <t>S85D 65 Inch 2024 OLED 4K AI TV</t>
        </is>
      </c>
      <c r="D656" s="2" t="inlineStr">
        <is>
          <t>QE65S85DAEXXU, TQ65S85DAEXXC, GQ65S85DAEXZG</t>
        </is>
      </c>
      <c r="E656" s="3" t="n">
        <v>65</v>
      </c>
      <c r="F656" s="3" t="n">
        <v>2024</v>
      </c>
      <c r="G656" s="4" t="n">
        <v>83</v>
      </c>
      <c r="H656" s="3" t="n">
        <v>300</v>
      </c>
      <c r="I656" s="3" t="n">
        <v>200</v>
      </c>
      <c r="J656" s="4" t="n">
        <v>18.4</v>
      </c>
      <c r="K656" s="4">
        <f>IF(ISNUMBER(J656),J656+I656/10,"")</f>
        <v/>
      </c>
      <c r="L656" s="2" t="inlineStr">
        <is>
          <t>3D-model</t>
        </is>
      </c>
      <c r="M656" s="2" t="inlineStr">
        <is>
          <t>Samsung</t>
        </is>
      </c>
      <c r="N656" s="2" t="inlineStr">
        <is>
          <t>Målt på Samsungs 3D-model af tv'et fra samsung.com: nederste VESA-hul 18,4 cm fra underkant. Metoden ramte 11 kendte mål med højst 1,2 cm afvigelse. Usikkerhed ca. ±1,5 cm.</t>
        </is>
      </c>
    </row>
    <row r="657">
      <c r="A657" s="2" t="inlineStr">
        <is>
          <t>Samsung</t>
        </is>
      </c>
      <c r="B657" s="2" t="inlineStr">
        <is>
          <t>S85D</t>
        </is>
      </c>
      <c r="C657" s="2" t="inlineStr">
        <is>
          <t>S85D 55 Inch 2024 OLED 4K AI TV</t>
        </is>
      </c>
      <c r="D657" s="2" t="inlineStr">
        <is>
          <t>QE55S85DAEXXU, TQ55S85DAEXXC, GQ55S85DAEXZG</t>
        </is>
      </c>
      <c r="E657" s="3" t="n">
        <v>55</v>
      </c>
      <c r="F657" s="3" t="n">
        <v>2024</v>
      </c>
      <c r="G657" s="4" t="n">
        <v>70.59999999999999</v>
      </c>
      <c r="H657" s="3" t="n">
        <v>300</v>
      </c>
      <c r="I657" s="3" t="n">
        <v>200</v>
      </c>
      <c r="J657" s="4" t="n"/>
      <c r="K657" s="4">
        <f>IF(ISNUMBER(J657),J657+I657/10,"")</f>
        <v/>
      </c>
      <c r="L657" s="2" t="inlineStr">
        <is>
          <t>estimat</t>
        </is>
      </c>
      <c r="M657" s="2" t="inlineStr"/>
      <c r="N657" s="2" t="inlineStr"/>
    </row>
    <row r="658">
      <c r="A658" s="2" t="inlineStr">
        <is>
          <t>Samsung</t>
        </is>
      </c>
      <c r="B658" s="2" t="inlineStr">
        <is>
          <t>S85F</t>
        </is>
      </c>
      <c r="C658" s="2" t="inlineStr">
        <is>
          <t>2025 S85F 83 inch 4K OLED Vision AI TV</t>
        </is>
      </c>
      <c r="D658" s="2" t="inlineStr">
        <is>
          <t>QE83S85FAEXXU, QE83S85FAEXXN, TQ83S85FAEXXC, GQ83S85FAEXZG, QE83S85FAEXZT</t>
        </is>
      </c>
      <c r="E658" s="3" t="n">
        <v>83</v>
      </c>
      <c r="F658" s="3" t="n">
        <v>2025</v>
      </c>
      <c r="G658" s="4" t="n">
        <v>105.9</v>
      </c>
      <c r="H658" s="3" t="n">
        <v>400</v>
      </c>
      <c r="I658" s="3" t="n">
        <v>300</v>
      </c>
      <c r="J658" s="4" t="n"/>
      <c r="K658" s="4">
        <f>IF(ISNUMBER(J658),J658+I658/10,"")</f>
        <v/>
      </c>
      <c r="L658" s="2" t="inlineStr">
        <is>
          <t>estimat</t>
        </is>
      </c>
      <c r="M658" s="2" t="inlineStr"/>
      <c r="N658" s="2" t="inlineStr"/>
    </row>
    <row r="659">
      <c r="A659" s="2" t="inlineStr">
        <is>
          <t>Samsung</t>
        </is>
      </c>
      <c r="B659" s="2" t="inlineStr">
        <is>
          <t>S85F</t>
        </is>
      </c>
      <c r="C659" s="2" t="inlineStr">
        <is>
          <t>2025 S85F 77 inch 4K OLED Vision AI TV</t>
        </is>
      </c>
      <c r="D659" s="2" t="inlineStr">
        <is>
          <t>QE77S85FAEXXU, QE77S85FAEXXN, TQ77S85FAEXXC, GQ77S85FAEXZG, QE77S85FAEXZT</t>
        </is>
      </c>
      <c r="E659" s="3" t="n">
        <v>77</v>
      </c>
      <c r="F659" s="3" t="n">
        <v>2025</v>
      </c>
      <c r="G659" s="4" t="n">
        <v>99.09999999999999</v>
      </c>
      <c r="H659" s="3" t="n">
        <v>400</v>
      </c>
      <c r="I659" s="3" t="n">
        <v>300</v>
      </c>
      <c r="J659" s="4" t="n"/>
      <c r="K659" s="4">
        <f>IF(ISNUMBER(J659),J659+I659/10,"")</f>
        <v/>
      </c>
      <c r="L659" s="2" t="inlineStr">
        <is>
          <t>estimat</t>
        </is>
      </c>
      <c r="M659" s="2" t="inlineStr"/>
      <c r="N659" s="2" t="inlineStr"/>
    </row>
    <row r="660">
      <c r="A660" s="2" t="inlineStr">
        <is>
          <t>Samsung</t>
        </is>
      </c>
      <c r="B660" s="2" t="inlineStr">
        <is>
          <t>S85F</t>
        </is>
      </c>
      <c r="C660" s="2" t="inlineStr">
        <is>
          <t>2025 65 Inch OLED TV S85F</t>
        </is>
      </c>
      <c r="D660" s="2" t="inlineStr">
        <is>
          <t>QE65S85FAEXXU, QE65S85FAEXXN, TQ65S85FAEXXC, GQ65S85FAEXZG, QE65S85FAEXZT</t>
        </is>
      </c>
      <c r="E660" s="3" t="n">
        <v>65</v>
      </c>
      <c r="F660" s="3" t="n">
        <v>2025</v>
      </c>
      <c r="G660" s="4" t="n">
        <v>83</v>
      </c>
      <c r="H660" s="3" t="n">
        <v>300</v>
      </c>
      <c r="I660" s="3" t="n">
        <v>200</v>
      </c>
      <c r="J660" s="4" t="n">
        <v>18.1</v>
      </c>
      <c r="K660" s="4">
        <f>IF(ISNUMBER(J660),J660+I660/10,"")</f>
        <v/>
      </c>
      <c r="L660" s="2" t="inlineStr">
        <is>
          <t>billedmålt</t>
        </is>
      </c>
      <c r="M660" s="2" t="inlineStr">
        <is>
          <t>Which?</t>
        </is>
      </c>
      <c r="N660" s="2" t="inlineStr">
        <is>
          <t>Billedmålt på Which?-foto (samsung-qe65s85faexxu): nederste VESA-hul 18,1 cm fra underkant, målt ud fra VESA 300×200 som skala. Usikkerhed ca. ±1 cm. 3D-kontrol (Samsungs 3D-model): 18,4 cm.</t>
        </is>
      </c>
    </row>
    <row r="661">
      <c r="A661" s="2" t="inlineStr">
        <is>
          <t>Samsung</t>
        </is>
      </c>
      <c r="B661" s="2" t="inlineStr">
        <is>
          <t>S85F</t>
        </is>
      </c>
      <c r="C661" s="2" t="inlineStr">
        <is>
          <t>2025 S85F 55 inch 4K OLED Vision AI TV</t>
        </is>
      </c>
      <c r="D661" s="2" t="inlineStr">
        <is>
          <t>QE55S85FAUXXU, QE55S85FAUXXN, TQ55S85FAUXXC, GQ55S85FAUXZG, QE55S85FAUXZT</t>
        </is>
      </c>
      <c r="E661" s="3" t="n">
        <v>55</v>
      </c>
      <c r="F661" s="3" t="n">
        <v>2025</v>
      </c>
      <c r="G661" s="4" t="n">
        <v>70.59999999999999</v>
      </c>
      <c r="H661" s="3" t="n">
        <v>300</v>
      </c>
      <c r="I661" s="3" t="n">
        <v>200</v>
      </c>
      <c r="J661" s="4" t="n"/>
      <c r="K661" s="4">
        <f>IF(ISNUMBER(J661),J661+I661/10,"")</f>
        <v/>
      </c>
      <c r="L661" s="2" t="inlineStr">
        <is>
          <t>estimat</t>
        </is>
      </c>
      <c r="M661" s="2" t="inlineStr"/>
      <c r="N661" s="2" t="inlineStr"/>
    </row>
    <row r="662">
      <c r="A662" s="2" t="inlineStr">
        <is>
          <t>Samsung</t>
        </is>
      </c>
      <c r="B662" s="2" t="inlineStr">
        <is>
          <t>S90C</t>
        </is>
      </c>
      <c r="C662" s="2" t="inlineStr">
        <is>
          <t>2023 65 Inch OLED 4K Smart TV S90C</t>
        </is>
      </c>
      <c r="D662" s="2" t="inlineStr">
        <is>
          <t>QE65S90CATXXU, TQ65S90CATXXC</t>
        </is>
      </c>
      <c r="E662" s="3" t="n">
        <v>65</v>
      </c>
      <c r="F662" s="3" t="n">
        <v>2023</v>
      </c>
      <c r="G662" s="4" t="n">
        <v>83.2</v>
      </c>
      <c r="H662" s="3" t="n">
        <v>300</v>
      </c>
      <c r="I662" s="3" t="n">
        <v>200</v>
      </c>
      <c r="J662" s="4" t="n"/>
      <c r="K662" s="4">
        <f>IF(ISNUMBER(J662),J662+I662/10,"")</f>
        <v/>
      </c>
      <c r="L662" s="2" t="inlineStr">
        <is>
          <t>estimat</t>
        </is>
      </c>
      <c r="M662" s="2" t="inlineStr"/>
      <c r="N662" s="2" t="inlineStr"/>
    </row>
    <row r="663">
      <c r="A663" s="2" t="inlineStr">
        <is>
          <t>Samsung</t>
        </is>
      </c>
      <c r="B663" s="2" t="inlineStr">
        <is>
          <t>S90D</t>
        </is>
      </c>
      <c r="C663" s="2" t="inlineStr">
        <is>
          <t>S90D 83 Inch 2024 OLED 4K AI TV</t>
        </is>
      </c>
      <c r="D663" s="2" t="inlineStr">
        <is>
          <t>QE83S90DAEXXU, TQ83S90DAEXXC, GQ83S90DAEXZG</t>
        </is>
      </c>
      <c r="E663" s="3" t="n">
        <v>83</v>
      </c>
      <c r="F663" s="3" t="n">
        <v>2024</v>
      </c>
      <c r="G663" s="4" t="n">
        <v>106.3</v>
      </c>
      <c r="H663" s="3" t="n">
        <v>400</v>
      </c>
      <c r="I663" s="3" t="n">
        <v>300</v>
      </c>
      <c r="J663" s="4" t="n"/>
      <c r="K663" s="4">
        <f>IF(ISNUMBER(J663),J663+I663/10,"")</f>
        <v/>
      </c>
      <c r="L663" s="2" t="inlineStr">
        <is>
          <t>estimat</t>
        </is>
      </c>
      <c r="M663" s="2" t="inlineStr"/>
      <c r="N663" s="2" t="inlineStr"/>
    </row>
    <row r="664">
      <c r="A664" s="2" t="inlineStr">
        <is>
          <t>Samsung</t>
        </is>
      </c>
      <c r="B664" s="2" t="inlineStr">
        <is>
          <t>S90D</t>
        </is>
      </c>
      <c r="C664" s="2" t="inlineStr">
        <is>
          <t>S90D 77 Inch 2024 OLED 4K AI TV</t>
        </is>
      </c>
      <c r="D664" s="2" t="inlineStr">
        <is>
          <t>QE77S90DAEXXU, TQ77S90DAEXXC, GQ77S90DAEXZG</t>
        </is>
      </c>
      <c r="E664" s="3" t="n">
        <v>77</v>
      </c>
      <c r="F664" s="3" t="n">
        <v>2024</v>
      </c>
      <c r="G664" s="4" t="n">
        <v>98.8</v>
      </c>
      <c r="H664" s="3" t="n">
        <v>400</v>
      </c>
      <c r="I664" s="3" t="n">
        <v>300</v>
      </c>
      <c r="J664" s="4" t="n"/>
      <c r="K664" s="4">
        <f>IF(ISNUMBER(J664),J664+I664/10,"")</f>
        <v/>
      </c>
      <c r="L664" s="2" t="inlineStr">
        <is>
          <t>estimat</t>
        </is>
      </c>
      <c r="M664" s="2" t="inlineStr"/>
      <c r="N664" s="2" t="inlineStr"/>
    </row>
    <row r="665">
      <c r="A665" s="2" t="inlineStr">
        <is>
          <t>Samsung</t>
        </is>
      </c>
      <c r="B665" s="2" t="inlineStr">
        <is>
          <t>S90D</t>
        </is>
      </c>
      <c r="C665" s="2" t="inlineStr">
        <is>
          <t>S90D 65 Inch 2024 OLED 4K AI TV</t>
        </is>
      </c>
      <c r="D665" s="2" t="inlineStr">
        <is>
          <t>QE65S90DATXXU, TQ65S90DATXXC, GQ65S90DATXZG</t>
        </is>
      </c>
      <c r="E665" s="3" t="n">
        <v>65</v>
      </c>
      <c r="F665" s="3" t="n">
        <v>2024</v>
      </c>
      <c r="G665" s="4" t="n">
        <v>83.2</v>
      </c>
      <c r="H665" s="3" t="n">
        <v>300</v>
      </c>
      <c r="I665" s="3" t="n">
        <v>200</v>
      </c>
      <c r="J665" s="4" t="n"/>
      <c r="K665" s="4">
        <f>IF(ISNUMBER(J665),J665+I665/10,"")</f>
        <v/>
      </c>
      <c r="L665" s="2" t="inlineStr">
        <is>
          <t>estimat</t>
        </is>
      </c>
      <c r="M665" s="2" t="inlineStr"/>
      <c r="N665" s="2" t="inlineStr"/>
    </row>
    <row r="666">
      <c r="A666" s="2" t="inlineStr">
        <is>
          <t>Samsung</t>
        </is>
      </c>
      <c r="B666" s="2" t="inlineStr">
        <is>
          <t>S90D</t>
        </is>
      </c>
      <c r="C666" s="2" t="inlineStr">
        <is>
          <t>S90D 55 Inch 2024 OLED 4K AI TV</t>
        </is>
      </c>
      <c r="D666" s="2" t="inlineStr">
        <is>
          <t>QE55S90DAEXXU, TQ55S90DAEXXC, GQ55S90DAEXZG</t>
        </is>
      </c>
      <c r="E666" s="3" t="n">
        <v>55</v>
      </c>
      <c r="F666" s="3" t="n">
        <v>2024</v>
      </c>
      <c r="G666" s="4" t="n">
        <v>70.90000000000001</v>
      </c>
      <c r="H666" s="3" t="n">
        <v>300</v>
      </c>
      <c r="I666" s="3" t="n">
        <v>200</v>
      </c>
      <c r="J666" s="4" t="n"/>
      <c r="K666" s="4">
        <f>IF(ISNUMBER(J666),J666+I666/10,"")</f>
        <v/>
      </c>
      <c r="L666" s="2" t="inlineStr">
        <is>
          <t>estimat</t>
        </is>
      </c>
      <c r="M666" s="2" t="inlineStr"/>
      <c r="N666" s="2" t="inlineStr"/>
    </row>
    <row r="667">
      <c r="A667" s="2" t="inlineStr">
        <is>
          <t>Samsung</t>
        </is>
      </c>
      <c r="B667" s="2" t="inlineStr">
        <is>
          <t>S90D</t>
        </is>
      </c>
      <c r="C667" s="2" t="inlineStr">
        <is>
          <t>S93D 48 Inch 2024 OLED 4K AI TV</t>
        </is>
      </c>
      <c r="D667" s="2" t="inlineStr">
        <is>
          <t>QE48S90DAEXXU, QE48S93DAEXXU, TQ48S90DAEXXC, GQ48S93DAEXZG, GQ48S90DAEXZG, QE48S90DAEXZT</t>
        </is>
      </c>
      <c r="E667" s="3" t="n">
        <v>48</v>
      </c>
      <c r="F667" s="3" t="n">
        <v>2024</v>
      </c>
      <c r="G667" s="4" t="n">
        <v>62</v>
      </c>
      <c r="H667" s="3" t="n">
        <v>300</v>
      </c>
      <c r="I667" s="3" t="n">
        <v>200</v>
      </c>
      <c r="J667" s="4" t="n"/>
      <c r="K667" s="4">
        <f>IF(ISNUMBER(J667),J667+I667/10,"")</f>
        <v/>
      </c>
      <c r="L667" s="2" t="inlineStr">
        <is>
          <t>estimat</t>
        </is>
      </c>
      <c r="M667" s="2" t="inlineStr"/>
      <c r="N667" s="2" t="inlineStr"/>
    </row>
    <row r="668">
      <c r="A668" s="2" t="inlineStr">
        <is>
          <t>Samsung</t>
        </is>
      </c>
      <c r="B668" s="2" t="inlineStr">
        <is>
          <t>S90F</t>
        </is>
      </c>
      <c r="C668" s="2" t="inlineStr">
        <is>
          <t>2025 S90F 83 inch 4K OLED Vision AI TV</t>
        </is>
      </c>
      <c r="D668" s="2" t="inlineStr">
        <is>
          <t>QE83S90FAEXXU, QE83S90FAEXXN, TQ83S90FAEXXC, GQ83S90FAEXZG, QE83S90FAEXZT</t>
        </is>
      </c>
      <c r="E668" s="3" t="n">
        <v>83</v>
      </c>
      <c r="F668" s="3" t="n">
        <v>2025</v>
      </c>
      <c r="G668" s="4" t="n">
        <v>106.3</v>
      </c>
      <c r="H668" s="3" t="n">
        <v>400</v>
      </c>
      <c r="I668" s="3" t="n">
        <v>300</v>
      </c>
      <c r="J668" s="4" t="n"/>
      <c r="K668" s="4">
        <f>IF(ISNUMBER(J668),J668+I668/10,"")</f>
        <v/>
      </c>
      <c r="L668" s="2" t="inlineStr">
        <is>
          <t>estimat</t>
        </is>
      </c>
      <c r="M668" s="2" t="inlineStr"/>
      <c r="N668" s="2" t="inlineStr"/>
    </row>
    <row r="669">
      <c r="A669" s="2" t="inlineStr">
        <is>
          <t>Samsung</t>
        </is>
      </c>
      <c r="B669" s="2" t="inlineStr">
        <is>
          <t>S90F</t>
        </is>
      </c>
      <c r="C669" s="2" t="inlineStr">
        <is>
          <t>2025 S90F 77 inch 4K OLED Vision AI TV</t>
        </is>
      </c>
      <c r="D669" s="2" t="inlineStr">
        <is>
          <t>QE77S90FAEXXU, QE77S90FAEXXN, TQ77S90FAEXXC, GQ77S90FAEXZG, QE77S90FAEXZT</t>
        </is>
      </c>
      <c r="E669" s="3" t="n">
        <v>77</v>
      </c>
      <c r="F669" s="3" t="n">
        <v>2025</v>
      </c>
      <c r="G669" s="4" t="n">
        <v>98.8</v>
      </c>
      <c r="H669" s="3" t="n">
        <v>400</v>
      </c>
      <c r="I669" s="3" t="n">
        <v>300</v>
      </c>
      <c r="J669" s="4" t="n"/>
      <c r="K669" s="4">
        <f>IF(ISNUMBER(J669),J669+I669/10,"")</f>
        <v/>
      </c>
      <c r="L669" s="2" t="inlineStr">
        <is>
          <t>estimat</t>
        </is>
      </c>
      <c r="M669" s="2" t="inlineStr"/>
      <c r="N669" s="2" t="inlineStr"/>
    </row>
    <row r="670">
      <c r="A670" s="2" t="inlineStr">
        <is>
          <t>Samsung</t>
        </is>
      </c>
      <c r="B670" s="2" t="inlineStr">
        <is>
          <t>S90F</t>
        </is>
      </c>
      <c r="C670" s="2" t="inlineStr">
        <is>
          <t>2025 S90F 65 inch 4K OLED Vision AI TV</t>
        </is>
      </c>
      <c r="D670" s="2" t="inlineStr">
        <is>
          <t>QE65S90FATXXU, QE65S90FATXXN, TQ65S90FATXXC, GQ65S90FATXZG, QE65S90FATXZT</t>
        </is>
      </c>
      <c r="E670" s="3" t="n">
        <v>65</v>
      </c>
      <c r="F670" s="3" t="n">
        <v>2025</v>
      </c>
      <c r="G670" s="4" t="n">
        <v>83.2</v>
      </c>
      <c r="H670" s="3" t="n">
        <v>300</v>
      </c>
      <c r="I670" s="3" t="n">
        <v>200</v>
      </c>
      <c r="J670" s="4" t="n"/>
      <c r="K670" s="4">
        <f>IF(ISNUMBER(J670),J670+I670/10,"")</f>
        <v/>
      </c>
      <c r="L670" s="2" t="inlineStr">
        <is>
          <t>estimat</t>
        </is>
      </c>
      <c r="M670" s="2" t="inlineStr"/>
      <c r="N670" s="2" t="inlineStr"/>
    </row>
    <row r="671">
      <c r="A671" s="2" t="inlineStr">
        <is>
          <t>Samsung</t>
        </is>
      </c>
      <c r="B671" s="2" t="inlineStr">
        <is>
          <t>S90F</t>
        </is>
      </c>
      <c r="C671" s="2" t="inlineStr">
        <is>
          <t>2025 S90F 55 inch 4K OLED Vision AI TV</t>
        </is>
      </c>
      <c r="D671" s="2" t="inlineStr">
        <is>
          <t>QE55S90FAEXXU, QE55S90FAEXXN, TQ55S90FAEXXC, GQ55S90FAEXZG, QE55S90FAEXZT</t>
        </is>
      </c>
      <c r="E671" s="3" t="n">
        <v>55</v>
      </c>
      <c r="F671" s="3" t="n">
        <v>2025</v>
      </c>
      <c r="G671" s="4" t="n">
        <v>70.90000000000001</v>
      </c>
      <c r="H671" s="3" t="n">
        <v>300</v>
      </c>
      <c r="I671" s="3" t="n">
        <v>200</v>
      </c>
      <c r="J671" s="4" t="n"/>
      <c r="K671" s="4">
        <f>IF(ISNUMBER(J671),J671+I671/10,"")</f>
        <v/>
      </c>
      <c r="L671" s="2" t="inlineStr">
        <is>
          <t>estimat</t>
        </is>
      </c>
      <c r="M671" s="2" t="inlineStr"/>
      <c r="N671" s="2" t="inlineStr"/>
    </row>
    <row r="672">
      <c r="A672" s="2" t="inlineStr">
        <is>
          <t>Samsung</t>
        </is>
      </c>
      <c r="B672" s="2" t="inlineStr">
        <is>
          <t>S90F</t>
        </is>
      </c>
      <c r="C672" s="2" t="inlineStr">
        <is>
          <t>2025 S90F 48 inch 4K OLED Vision AI TV</t>
        </is>
      </c>
      <c r="D672" s="2" t="inlineStr">
        <is>
          <t>QE48S90FAEXXU, QE48S90FAEXXN, TQ48S90FAEXXC, GQ48S90FAEXZG, QE48S90FAEXZT</t>
        </is>
      </c>
      <c r="E672" s="3" t="n">
        <v>48</v>
      </c>
      <c r="F672" s="3" t="n">
        <v>2025</v>
      </c>
      <c r="G672" s="4" t="n">
        <v>62</v>
      </c>
      <c r="H672" s="3" t="n">
        <v>300</v>
      </c>
      <c r="I672" s="3" t="n">
        <v>200</v>
      </c>
      <c r="J672" s="4" t="n"/>
      <c r="K672" s="4">
        <f>IF(ISNUMBER(J672),J672+I672/10,"")</f>
        <v/>
      </c>
      <c r="L672" s="2" t="inlineStr">
        <is>
          <t>estimat</t>
        </is>
      </c>
      <c r="M672" s="2" t="inlineStr"/>
      <c r="N672" s="2" t="inlineStr"/>
    </row>
    <row r="673">
      <c r="A673" s="2" t="inlineStr">
        <is>
          <t>Samsung</t>
        </is>
      </c>
      <c r="B673" s="2" t="inlineStr">
        <is>
          <t>S90F</t>
        </is>
      </c>
      <c r="C673" s="2" t="inlineStr">
        <is>
          <t>42 Inch OLED S90F 4K Vision AI Smart TV</t>
        </is>
      </c>
      <c r="D673" s="2" t="inlineStr">
        <is>
          <t>QE42S90FAEXXU, QE42S90FAEXXN, TQ42S90FAEXXC, GQ42S90FAEXZG, QE42S90FAEXZT</t>
        </is>
      </c>
      <c r="E673" s="3" t="n">
        <v>42</v>
      </c>
      <c r="F673" s="3" t="n">
        <v>2026</v>
      </c>
      <c r="G673" s="4" t="n">
        <v>54.3</v>
      </c>
      <c r="H673" s="3" t="n">
        <v>200</v>
      </c>
      <c r="I673" s="3" t="n">
        <v>200</v>
      </c>
      <c r="J673" s="4" t="n">
        <v>9.5</v>
      </c>
      <c r="K673" s="4">
        <f>IF(ISNUMBER(J673),J673+I673/10,"")</f>
        <v/>
      </c>
      <c r="L673" s="2" t="inlineStr">
        <is>
          <t>billedmålt</t>
        </is>
      </c>
      <c r="M673" s="2" t="inlineStr">
        <is>
          <t>Which?</t>
        </is>
      </c>
      <c r="N673" s="2" t="inlineStr">
        <is>
          <t>Billedmålt på Which?-foto (samsung-qe42s90faexxu): nederste VESA-hul 9,5 cm fra underkant, målt ud fra VESA 200×200 som skala. Usikkerhed ca. ±1 cm.</t>
        </is>
      </c>
    </row>
    <row r="674">
      <c r="A674" s="2" t="inlineStr">
        <is>
          <t>Samsung</t>
        </is>
      </c>
      <c r="B674" s="2" t="inlineStr">
        <is>
          <t>S90H</t>
        </is>
      </c>
      <c r="C674" s="2" t="inlineStr">
        <is>
          <t>2026 S90H 42 inch 4K OLED Samsung Vision AI TV</t>
        </is>
      </c>
      <c r="D674" s="2" t="inlineStr">
        <is>
          <t>QE42S93HAEXXU, QE42S90HAEXXU, QE42S93HAEXXN, QE42S90HAEXXN, TQ42S90HAEXXC, GQ42S93HAEXZG, GQ42S90HAEXZG, QE42S90HAEXZT, TQ42S93HAEXXC</t>
        </is>
      </c>
      <c r="E674" s="3" t="n">
        <v>42</v>
      </c>
      <c r="F674" s="3" t="n">
        <v>2026</v>
      </c>
      <c r="G674" s="4" t="n">
        <v>54.3</v>
      </c>
      <c r="H674" s="3" t="n">
        <v>200</v>
      </c>
      <c r="I674" s="3" t="n">
        <v>200</v>
      </c>
      <c r="J674" s="4" t="n">
        <v>9.300000000000001</v>
      </c>
      <c r="K674" s="4">
        <f>IF(ISNUMBER(J674),J674+I674/10,"")</f>
        <v/>
      </c>
      <c r="L674" s="2" t="inlineStr">
        <is>
          <t>billedmålt</t>
        </is>
      </c>
      <c r="M674" s="2" t="inlineStr">
        <is>
          <t>Which?</t>
        </is>
      </c>
      <c r="N674" s="2" t="inlineStr">
        <is>
          <t>Billedmålt på Which?-foto (foto af QE42S93H): nederste VESA-hul 9,3 cm fra underkant, målt ud fra VESA 200×200 som skala. Usikkerhed ca. ±1 cm. 3D-kontrol (Samsungs 3D-model): 9,2 cm.</t>
        </is>
      </c>
    </row>
    <row r="675">
      <c r="A675" s="2" t="inlineStr">
        <is>
          <t>Samsung</t>
        </is>
      </c>
      <c r="B675" s="2" t="inlineStr">
        <is>
          <t>S91F</t>
        </is>
      </c>
      <c r="C675" s="2" t="inlineStr">
        <is>
          <t>2025 S91F 83 inch OLED 4K Vision AI Smart TV</t>
        </is>
      </c>
      <c r="D675" s="2" t="inlineStr">
        <is>
          <t>QE83S91FAEXXU, GQ83S91FAEXZG, QE83S91FAEXZT, TQ83S91FAEXXC</t>
        </is>
      </c>
      <c r="E675" s="3" t="n">
        <v>83</v>
      </c>
      <c r="F675" s="3" t="n">
        <v>2025</v>
      </c>
      <c r="G675" s="4" t="n">
        <v>106.3</v>
      </c>
      <c r="H675" s="3" t="n">
        <v>400</v>
      </c>
      <c r="I675" s="3" t="n">
        <v>300</v>
      </c>
      <c r="J675" s="4" t="n"/>
      <c r="K675" s="4">
        <f>IF(ISNUMBER(J675),J675+I675/10,"")</f>
        <v/>
      </c>
      <c r="L675" s="2" t="inlineStr">
        <is>
          <t>estimat</t>
        </is>
      </c>
      <c r="M675" s="2" t="inlineStr"/>
      <c r="N675" s="2" t="inlineStr"/>
    </row>
    <row r="676">
      <c r="A676" s="2" t="inlineStr">
        <is>
          <t>Samsung</t>
        </is>
      </c>
      <c r="B676" s="2" t="inlineStr">
        <is>
          <t>S91F</t>
        </is>
      </c>
      <c r="C676" s="2" t="inlineStr">
        <is>
          <t>2025 S91F 77 inch OLED 4K Vision AI Smart TV</t>
        </is>
      </c>
      <c r="D676" s="2" t="inlineStr">
        <is>
          <t>QE77S91FAEXXU, TQ77S91FAEXXC, GQ77S91FAEXZG, QE77S91FAEXZT</t>
        </is>
      </c>
      <c r="E676" s="3" t="n">
        <v>77</v>
      </c>
      <c r="F676" s="3" t="n">
        <v>2025</v>
      </c>
      <c r="G676" s="4" t="n">
        <v>98.8</v>
      </c>
      <c r="H676" s="3" t="n">
        <v>400</v>
      </c>
      <c r="I676" s="3" t="n">
        <v>300</v>
      </c>
      <c r="J676" s="4" t="n"/>
      <c r="K676" s="4">
        <f>IF(ISNUMBER(J676),J676+I676/10,"")</f>
        <v/>
      </c>
      <c r="L676" s="2" t="inlineStr">
        <is>
          <t>estimat</t>
        </is>
      </c>
      <c r="M676" s="2" t="inlineStr"/>
      <c r="N676" s="2" t="inlineStr"/>
    </row>
    <row r="677">
      <c r="A677" s="2" t="inlineStr">
        <is>
          <t>Samsung</t>
        </is>
      </c>
      <c r="B677" s="2" t="inlineStr">
        <is>
          <t>S93D</t>
        </is>
      </c>
      <c r="C677" s="2" t="inlineStr">
        <is>
          <t>S93D 83 Inch 2024 OLED 4K AI TV</t>
        </is>
      </c>
      <c r="D677" s="2" t="inlineStr">
        <is>
          <t>QE83S93DAEXXU, GQ83S93DAEXZG</t>
        </is>
      </c>
      <c r="E677" s="3" t="n">
        <v>83</v>
      </c>
      <c r="F677" s="3" t="n">
        <v>2024</v>
      </c>
      <c r="G677" s="4" t="n">
        <v>106.3</v>
      </c>
      <c r="H677" s="3" t="n">
        <v>400</v>
      </c>
      <c r="I677" s="3" t="n">
        <v>300</v>
      </c>
      <c r="J677" s="4" t="n"/>
      <c r="K677" s="4">
        <f>IF(ISNUMBER(J677),J677+I677/10,"")</f>
        <v/>
      </c>
      <c r="L677" s="2" t="inlineStr">
        <is>
          <t>estimat</t>
        </is>
      </c>
      <c r="M677" s="2" t="inlineStr"/>
      <c r="N677" s="2" t="inlineStr"/>
    </row>
    <row r="678">
      <c r="A678" s="2" t="inlineStr">
        <is>
          <t>Samsung</t>
        </is>
      </c>
      <c r="B678" s="2" t="inlineStr">
        <is>
          <t>S93D</t>
        </is>
      </c>
      <c r="C678" s="2" t="inlineStr">
        <is>
          <t>2024 77" OLED S93D 4K AI TV</t>
        </is>
      </c>
      <c r="D678" s="2" t="inlineStr">
        <is>
          <t>QE77S93DAEXXU, GQ77S93DAEXZG</t>
        </is>
      </c>
      <c r="E678" s="3" t="n">
        <v>77</v>
      </c>
      <c r="F678" s="3" t="n">
        <v>2024</v>
      </c>
      <c r="G678" s="4" t="n">
        <v>98.8</v>
      </c>
      <c r="H678" s="3" t="n">
        <v>400</v>
      </c>
      <c r="I678" s="3" t="n">
        <v>300</v>
      </c>
      <c r="J678" s="4" t="n"/>
      <c r="K678" s="4">
        <f>IF(ISNUMBER(J678),J678+I678/10,"")</f>
        <v/>
      </c>
      <c r="L678" s="2" t="inlineStr">
        <is>
          <t>estimat</t>
        </is>
      </c>
      <c r="M678" s="2" t="inlineStr"/>
      <c r="N678" s="2" t="inlineStr"/>
    </row>
    <row r="679">
      <c r="A679" s="2" t="inlineStr">
        <is>
          <t>Samsung</t>
        </is>
      </c>
      <c r="B679" s="2" t="inlineStr">
        <is>
          <t>S93D</t>
        </is>
      </c>
      <c r="C679" s="2" t="inlineStr">
        <is>
          <t>S93D 65 Inch 2024 OLED 4K AI TV</t>
        </is>
      </c>
      <c r="D679" s="2" t="inlineStr">
        <is>
          <t>QE65S93DATXXU, GQ65S93DATXZG</t>
        </is>
      </c>
      <c r="E679" s="3" t="n">
        <v>65</v>
      </c>
      <c r="F679" s="3" t="n">
        <v>2024</v>
      </c>
      <c r="G679" s="4" t="n">
        <v>83.2</v>
      </c>
      <c r="H679" s="3" t="n">
        <v>300</v>
      </c>
      <c r="I679" s="3" t="n">
        <v>200</v>
      </c>
      <c r="J679" s="4" t="n"/>
      <c r="K679" s="4">
        <f>IF(ISNUMBER(J679),J679+I679/10,"")</f>
        <v/>
      </c>
      <c r="L679" s="2" t="inlineStr">
        <is>
          <t>estimat</t>
        </is>
      </c>
      <c r="M679" s="2" t="inlineStr"/>
      <c r="N679" s="2" t="inlineStr"/>
    </row>
    <row r="680">
      <c r="A680" s="2" t="inlineStr">
        <is>
          <t>Samsung</t>
        </is>
      </c>
      <c r="B680" s="2" t="inlineStr">
        <is>
          <t>S93D</t>
        </is>
      </c>
      <c r="C680" s="2" t="inlineStr">
        <is>
          <t>S93D 55 Inch 2024 OLED 4K AI TV</t>
        </is>
      </c>
      <c r="D680" s="2" t="inlineStr">
        <is>
          <t>QE55S93DAEXXU, GQ55S93DAEXZG</t>
        </is>
      </c>
      <c r="E680" s="3" t="n">
        <v>55</v>
      </c>
      <c r="F680" s="3" t="n">
        <v>2024</v>
      </c>
      <c r="G680" s="4" t="n">
        <v>70.90000000000001</v>
      </c>
      <c r="H680" s="3" t="n">
        <v>300</v>
      </c>
      <c r="I680" s="3" t="n">
        <v>200</v>
      </c>
      <c r="J680" s="4" t="n"/>
      <c r="K680" s="4">
        <f>IF(ISNUMBER(J680),J680+I680/10,"")</f>
        <v/>
      </c>
      <c r="L680" s="2" t="inlineStr">
        <is>
          <t>estimat</t>
        </is>
      </c>
      <c r="M680" s="2" t="inlineStr"/>
      <c r="N680" s="2" t="inlineStr"/>
    </row>
    <row r="681">
      <c r="A681" s="2" t="inlineStr">
        <is>
          <t>Samsung</t>
        </is>
      </c>
      <c r="B681" s="2" t="inlineStr">
        <is>
          <t>S93F</t>
        </is>
      </c>
      <c r="C681" s="2" t="inlineStr">
        <is>
          <t>2025 S93F 83 inch 4K OLED Vision AI TV</t>
        </is>
      </c>
      <c r="D681" s="2" t="inlineStr">
        <is>
          <t>QE83S93FAEXXU, GQ83S93FAEXZG, TQ83S93FAEXXC</t>
        </is>
      </c>
      <c r="E681" s="3" t="n">
        <v>83</v>
      </c>
      <c r="F681" s="3" t="n">
        <v>2025</v>
      </c>
      <c r="G681" s="4" t="n">
        <v>106.3</v>
      </c>
      <c r="H681" s="3" t="n">
        <v>400</v>
      </c>
      <c r="I681" s="3" t="n">
        <v>300</v>
      </c>
      <c r="J681" s="4" t="n"/>
      <c r="K681" s="4">
        <f>IF(ISNUMBER(J681),J681+I681/10,"")</f>
        <v/>
      </c>
      <c r="L681" s="2" t="inlineStr">
        <is>
          <t>estimat</t>
        </is>
      </c>
      <c r="M681" s="2" t="inlineStr"/>
      <c r="N681" s="2" t="inlineStr"/>
    </row>
    <row r="682">
      <c r="A682" s="2" t="inlineStr">
        <is>
          <t>Samsung</t>
        </is>
      </c>
      <c r="B682" s="2" t="inlineStr">
        <is>
          <t>S93F</t>
        </is>
      </c>
      <c r="C682" s="2" t="inlineStr">
        <is>
          <t>2025 S93F 77 inch 4K OLED Vision AI TV</t>
        </is>
      </c>
      <c r="D682" s="2" t="inlineStr">
        <is>
          <t>QE77S93FAEXXU, QE77S93FAEXXN, GQ77S93FAEXZG, TQ77S93FAEXXC</t>
        </is>
      </c>
      <c r="E682" s="3" t="n">
        <v>77</v>
      </c>
      <c r="F682" s="3" t="n">
        <v>2025</v>
      </c>
      <c r="G682" s="4" t="n">
        <v>98.8</v>
      </c>
      <c r="H682" s="3" t="n">
        <v>400</v>
      </c>
      <c r="I682" s="3" t="n">
        <v>300</v>
      </c>
      <c r="J682" s="4" t="n"/>
      <c r="K682" s="4">
        <f>IF(ISNUMBER(J682),J682+I682/10,"")</f>
        <v/>
      </c>
      <c r="L682" s="2" t="inlineStr">
        <is>
          <t>estimat</t>
        </is>
      </c>
      <c r="M682" s="2" t="inlineStr"/>
      <c r="N682" s="2" t="inlineStr"/>
    </row>
    <row r="683">
      <c r="A683" s="2" t="inlineStr">
        <is>
          <t>Samsung</t>
        </is>
      </c>
      <c r="B683" s="2" t="inlineStr">
        <is>
          <t>S93F</t>
        </is>
      </c>
      <c r="C683" s="2" t="inlineStr">
        <is>
          <t>2025 S93F 65 inch 4K OLED Vision AI TV</t>
        </is>
      </c>
      <c r="D683" s="2" t="inlineStr">
        <is>
          <t>QE65S93FATXXU, QE65S93FATXXN, GQ65S93FATXZG, TQ65S93FATXXC</t>
        </is>
      </c>
      <c r="E683" s="3" t="n">
        <v>65</v>
      </c>
      <c r="F683" s="3" t="n">
        <v>2025</v>
      </c>
      <c r="G683" s="4" t="n">
        <v>83.2</v>
      </c>
      <c r="H683" s="3" t="n">
        <v>300</v>
      </c>
      <c r="I683" s="3" t="n">
        <v>200</v>
      </c>
      <c r="J683" s="4" t="n"/>
      <c r="K683" s="4">
        <f>IF(ISNUMBER(J683),J683+I683/10,"")</f>
        <v/>
      </c>
      <c r="L683" s="2" t="inlineStr">
        <is>
          <t>estimat</t>
        </is>
      </c>
      <c r="M683" s="2" t="inlineStr"/>
      <c r="N683" s="2" t="inlineStr"/>
    </row>
    <row r="684">
      <c r="A684" s="2" t="inlineStr">
        <is>
          <t>Samsung</t>
        </is>
      </c>
      <c r="B684" s="2" t="inlineStr">
        <is>
          <t>S93F</t>
        </is>
      </c>
      <c r="C684" s="2" t="inlineStr">
        <is>
          <t>2025 S93F 4K 55 Inch OLED Television</t>
        </is>
      </c>
      <c r="D684" s="2" t="inlineStr">
        <is>
          <t>QE55S93FAEXXU, QE55S93FAEXXN, GQ55S93FAEXZG, TQ55S93FAEXXC</t>
        </is>
      </c>
      <c r="E684" s="3" t="n">
        <v>55</v>
      </c>
      <c r="F684" s="3" t="n">
        <v>2025</v>
      </c>
      <c r="G684" s="4" t="n">
        <v>70.90000000000001</v>
      </c>
      <c r="H684" s="3" t="n">
        <v>300</v>
      </c>
      <c r="I684" s="3" t="n">
        <v>200</v>
      </c>
      <c r="J684" s="4" t="n"/>
      <c r="K684" s="4">
        <f>IF(ISNUMBER(J684),J684+I684/10,"")</f>
        <v/>
      </c>
      <c r="L684" s="2" t="inlineStr">
        <is>
          <t>estimat</t>
        </is>
      </c>
      <c r="M684" s="2" t="inlineStr"/>
      <c r="N684" s="2" t="inlineStr"/>
    </row>
    <row r="685">
      <c r="A685" s="2" t="inlineStr">
        <is>
          <t>Samsung</t>
        </is>
      </c>
      <c r="B685" s="2" t="inlineStr">
        <is>
          <t>S93F</t>
        </is>
      </c>
      <c r="C685" s="2" t="inlineStr">
        <is>
          <t>2025 S93F 48 inch 4K OLED Vision AI TV</t>
        </is>
      </c>
      <c r="D685" s="2" t="inlineStr">
        <is>
          <t>QE48S93FAEXXU, QE48S93FAEXXN, GQ48S93FAEXZG, TQ48S93FAEXXC</t>
        </is>
      </c>
      <c r="E685" s="3" t="n">
        <v>48</v>
      </c>
      <c r="F685" s="3" t="n">
        <v>2025</v>
      </c>
      <c r="G685" s="4" t="n">
        <v>62</v>
      </c>
      <c r="H685" s="3" t="n">
        <v>300</v>
      </c>
      <c r="I685" s="3" t="n">
        <v>200</v>
      </c>
      <c r="J685" s="4" t="n"/>
      <c r="K685" s="4">
        <f>IF(ISNUMBER(J685),J685+I685/10,"")</f>
        <v/>
      </c>
      <c r="L685" s="2" t="inlineStr">
        <is>
          <t>estimat</t>
        </is>
      </c>
      <c r="M685" s="2" t="inlineStr"/>
      <c r="N685" s="2" t="inlineStr"/>
    </row>
    <row r="686">
      <c r="A686" s="2" t="inlineStr">
        <is>
          <t>Samsung</t>
        </is>
      </c>
      <c r="B686" s="2" t="inlineStr">
        <is>
          <t>S93F</t>
        </is>
      </c>
      <c r="C686" s="2" t="inlineStr">
        <is>
          <t>42 Inch OLED S93F 4K Vision AI Smart TV</t>
        </is>
      </c>
      <c r="D686" s="2" t="inlineStr">
        <is>
          <t>QE42S93FAEXXU, QE42S93FAEXXN, GQ42S93FAEXZG</t>
        </is>
      </c>
      <c r="E686" s="3" t="n">
        <v>42</v>
      </c>
      <c r="F686" s="3" t="n">
        <v>2026</v>
      </c>
      <c r="G686" s="4" t="n">
        <v>54.3</v>
      </c>
      <c r="H686" s="3" t="n">
        <v>200</v>
      </c>
      <c r="I686" s="3" t="n">
        <v>200</v>
      </c>
      <c r="J686" s="4" t="n">
        <v>9.5</v>
      </c>
      <c r="K686" s="4">
        <f>IF(ISNUMBER(J686),J686+I686/10,"")</f>
        <v/>
      </c>
      <c r="L686" s="2" t="inlineStr">
        <is>
          <t>billedmålt</t>
        </is>
      </c>
      <c r="M686" s="2" t="inlineStr">
        <is>
          <t>Which?</t>
        </is>
      </c>
      <c r="N686" s="2" t="inlineStr">
        <is>
          <t>Billedmålt på Which?-foto (samsung-qe42s93faexxu): nederste VESA-hul 9,5 cm fra underkant, målt ud fra VESA 200×200 som skala. Usikkerhed ca. ±1 cm.</t>
        </is>
      </c>
    </row>
    <row r="687">
      <c r="A687" s="2" t="inlineStr">
        <is>
          <t>Samsung</t>
        </is>
      </c>
      <c r="B687" s="2" t="inlineStr">
        <is>
          <t>S93H</t>
        </is>
      </c>
      <c r="C687" s="2" t="inlineStr">
        <is>
          <t>48” OLED 4K Vision AI Smart TV S93H (2026)</t>
        </is>
      </c>
      <c r="D687" s="2" t="inlineStr">
        <is>
          <t>QE48S93HAEXXN, QE48S93HAEXXU, GQ48S93HAEXZG, TQ48S93HAEXXC</t>
        </is>
      </c>
      <c r="E687" s="3" t="n">
        <v>48</v>
      </c>
      <c r="F687" s="3" t="n">
        <v>2026</v>
      </c>
      <c r="G687" s="4" t="n">
        <v>62</v>
      </c>
      <c r="H687" s="3" t="n">
        <v>300</v>
      </c>
      <c r="I687" s="3" t="n">
        <v>200</v>
      </c>
      <c r="J687" s="4" t="n"/>
      <c r="K687" s="4">
        <f>IF(ISNUMBER(J687),J687+I687/10,"")</f>
        <v/>
      </c>
      <c r="L687" s="2" t="inlineStr">
        <is>
          <t>estimat</t>
        </is>
      </c>
      <c r="M687" s="2" t="inlineStr"/>
      <c r="N687" s="2" t="inlineStr"/>
    </row>
    <row r="688">
      <c r="A688" s="2" t="inlineStr">
        <is>
          <t>Samsung</t>
        </is>
      </c>
      <c r="B688" s="2" t="inlineStr">
        <is>
          <t>S94H</t>
        </is>
      </c>
      <c r="C688" s="2" t="inlineStr">
        <is>
          <t>65” OLED S94H 4K Vision AI Smart TV (2026)</t>
        </is>
      </c>
      <c r="D688" s="2" t="inlineStr">
        <is>
          <t>QE65S94HAEXXN, GQ65S94HAEXZG</t>
        </is>
      </c>
      <c r="E688" s="3" t="n">
        <v>65</v>
      </c>
      <c r="F688" s="3" t="n">
        <v>2026</v>
      </c>
      <c r="G688" s="4" t="n">
        <v>83.2</v>
      </c>
      <c r="H688" s="3" t="n">
        <v>300</v>
      </c>
      <c r="I688" s="3" t="n">
        <v>200</v>
      </c>
      <c r="J688" s="4" t="n"/>
      <c r="K688" s="4">
        <f>IF(ISNUMBER(J688),J688+I688/10,"")</f>
        <v/>
      </c>
      <c r="L688" s="2" t="inlineStr">
        <is>
          <t>estimat</t>
        </is>
      </c>
      <c r="M688" s="2" t="inlineStr"/>
      <c r="N688" s="2" t="inlineStr"/>
    </row>
    <row r="689">
      <c r="A689" s="2" t="inlineStr">
        <is>
          <t>Samsung</t>
        </is>
      </c>
      <c r="B689" s="2" t="inlineStr">
        <is>
          <t>S94H</t>
        </is>
      </c>
      <c r="C689" s="2" t="inlineStr">
        <is>
          <t>55” OLED S94H 4K Vision AI Smart TV (2026)</t>
        </is>
      </c>
      <c r="D689" s="2" t="inlineStr">
        <is>
          <t>QE55S94HAEXXN, GQ55S94HAEXZG</t>
        </is>
      </c>
      <c r="E689" s="3" t="n">
        <v>55</v>
      </c>
      <c r="F689" s="3" t="n">
        <v>2026</v>
      </c>
      <c r="G689" s="4" t="n">
        <v>70.90000000000001</v>
      </c>
      <c r="H689" s="3" t="n">
        <v>300</v>
      </c>
      <c r="I689" s="3" t="n">
        <v>200</v>
      </c>
      <c r="J689" s="4" t="n"/>
      <c r="K689" s="4">
        <f>IF(ISNUMBER(J689),J689+I689/10,"")</f>
        <v/>
      </c>
      <c r="L689" s="2" t="inlineStr">
        <is>
          <t>estimat</t>
        </is>
      </c>
      <c r="M689" s="2" t="inlineStr"/>
      <c r="N689" s="2" t="inlineStr"/>
    </row>
    <row r="690">
      <c r="A690" s="2" t="inlineStr">
        <is>
          <t>Samsung</t>
        </is>
      </c>
      <c r="B690" s="2" t="inlineStr">
        <is>
          <t>S94H</t>
        </is>
      </c>
      <c r="C690" s="2" t="inlineStr">
        <is>
          <t>48” OLED S94H 4K Vision AI Smart TV (2026)</t>
        </is>
      </c>
      <c r="D690" s="2" t="inlineStr">
        <is>
          <t>QE48S94HAEXXN, GQ48S94HAEXZG</t>
        </is>
      </c>
      <c r="E690" s="3" t="n">
        <v>48</v>
      </c>
      <c r="F690" s="3" t="n">
        <v>2026</v>
      </c>
      <c r="G690" s="4" t="n">
        <v>62</v>
      </c>
      <c r="H690" s="3" t="n">
        <v>300</v>
      </c>
      <c r="I690" s="3" t="n">
        <v>200</v>
      </c>
      <c r="J690" s="4" t="n"/>
      <c r="K690" s="4">
        <f>IF(ISNUMBER(J690),J690+I690/10,"")</f>
        <v/>
      </c>
      <c r="L690" s="2" t="inlineStr">
        <is>
          <t>estimat</t>
        </is>
      </c>
      <c r="M690" s="2" t="inlineStr"/>
      <c r="N690" s="2" t="inlineStr"/>
    </row>
    <row r="691">
      <c r="A691" s="2" t="inlineStr">
        <is>
          <t>Samsung</t>
        </is>
      </c>
      <c r="B691" s="2" t="inlineStr">
        <is>
          <t>S95D</t>
        </is>
      </c>
      <c r="C691" s="2" t="inlineStr">
        <is>
          <t>S95D 77 Inch 2024 OLED 4K AI TV</t>
        </is>
      </c>
      <c r="D691" s="2" t="inlineStr">
        <is>
          <t>QE77S95DATXXU, TQ77S95DATXXC, GQ77S95DATXZG</t>
        </is>
      </c>
      <c r="E691" s="3" t="n">
        <v>77</v>
      </c>
      <c r="F691" s="3" t="n">
        <v>2024</v>
      </c>
      <c r="G691" s="4" t="n">
        <v>98.40000000000001</v>
      </c>
      <c r="H691" s="3" t="n">
        <v>400</v>
      </c>
      <c r="I691" s="3" t="n">
        <v>400</v>
      </c>
      <c r="J691" s="4" t="n"/>
      <c r="K691" s="4">
        <f>IF(ISNUMBER(J691),J691+I691/10,"")</f>
        <v/>
      </c>
      <c r="L691" s="2" t="inlineStr">
        <is>
          <t>estimat</t>
        </is>
      </c>
      <c r="M691" s="2" t="inlineStr"/>
      <c r="N691" s="2" t="inlineStr"/>
    </row>
    <row r="692">
      <c r="A692" s="2" t="inlineStr">
        <is>
          <t>Samsung</t>
        </is>
      </c>
      <c r="B692" s="2" t="inlineStr">
        <is>
          <t>S95D</t>
        </is>
      </c>
      <c r="C692" s="2" t="inlineStr">
        <is>
          <t>S95D 65 Inch 2024 OLED 4K AI TV</t>
        </is>
      </c>
      <c r="D692" s="2" t="inlineStr">
        <is>
          <t>QE65S95DATXXU, TQ65S95DATXXC, GQ65S95DATXZG</t>
        </is>
      </c>
      <c r="E692" s="3" t="n">
        <v>65</v>
      </c>
      <c r="F692" s="3" t="n">
        <v>2024</v>
      </c>
      <c r="G692" s="4" t="n">
        <v>82.90000000000001</v>
      </c>
      <c r="H692" s="3" t="n">
        <v>400</v>
      </c>
      <c r="I692" s="3" t="n">
        <v>300</v>
      </c>
      <c r="J692" s="4" t="n">
        <v>30.8</v>
      </c>
      <c r="K692" s="4">
        <f>IF(ISNUMBER(J692),J692+I692/10,"")</f>
        <v/>
      </c>
      <c r="L692" s="2" t="inlineStr">
        <is>
          <t>3D-model</t>
        </is>
      </c>
      <c r="M692" s="2" t="inlineStr">
        <is>
          <t>Samsung</t>
        </is>
      </c>
      <c r="N692" s="2" t="inlineStr">
        <is>
          <t>Målt på Samsungs 3D-model af tv'et fra samsung.com: nederste VESA-hul 30,8 cm fra underkant. Metoden ramte 11 kendte mål med højst 1,2 cm afvigelse. Usikkerhed ca. ±1,5 cm.</t>
        </is>
      </c>
    </row>
    <row r="693">
      <c r="A693" s="2" t="inlineStr">
        <is>
          <t>Samsung</t>
        </is>
      </c>
      <c r="B693" s="2" t="inlineStr">
        <is>
          <t>S95D</t>
        </is>
      </c>
      <c r="C693" s="2" t="inlineStr">
        <is>
          <t>S95D 55 Inch 2024 OLED 4K AI TV</t>
        </is>
      </c>
      <c r="D693" s="2" t="inlineStr">
        <is>
          <t>QE55S95DATXXU, TQ55S95DATXXC, GQ55S95DATXZG</t>
        </is>
      </c>
      <c r="E693" s="3" t="n">
        <v>55</v>
      </c>
      <c r="F693" s="3" t="n">
        <v>2024</v>
      </c>
      <c r="G693" s="4" t="n">
        <v>70.59999999999999</v>
      </c>
      <c r="H693" s="3" t="n">
        <v>400</v>
      </c>
      <c r="I693" s="3" t="n">
        <v>300</v>
      </c>
      <c r="J693" s="4" t="n"/>
      <c r="K693" s="4">
        <f>IF(ISNUMBER(J693),J693+I693/10,"")</f>
        <v/>
      </c>
      <c r="L693" s="2" t="inlineStr">
        <is>
          <t>estimat</t>
        </is>
      </c>
      <c r="M693" s="2" t="inlineStr"/>
      <c r="N693" s="2" t="inlineStr"/>
    </row>
    <row r="694">
      <c r="A694" s="2" t="inlineStr">
        <is>
          <t>Samsung</t>
        </is>
      </c>
      <c r="B694" s="2" t="inlineStr">
        <is>
          <t>S95F</t>
        </is>
      </c>
      <c r="C694" s="2" t="inlineStr">
        <is>
          <t>2025 S95F 83 inch 4K OLED Vision AI TV</t>
        </is>
      </c>
      <c r="D694" s="2" t="inlineStr">
        <is>
          <t>QE83S95FAEXXU, QE83S95FAEXXN, TQ83S95FAEXXC, GQ83S95FAEXZG, QE83S95FAEXZT</t>
        </is>
      </c>
      <c r="E694" s="3" t="n">
        <v>83</v>
      </c>
      <c r="F694" s="3" t="n">
        <v>2025</v>
      </c>
      <c r="G694" s="4" t="n">
        <v>105.7</v>
      </c>
      <c r="H694" s="3" t="n">
        <v>400</v>
      </c>
      <c r="I694" s="3" t="n">
        <v>400</v>
      </c>
      <c r="J694" s="4" t="n">
        <v>43</v>
      </c>
      <c r="K694" s="4">
        <f>IF(ISNUMBER(J694),J694+I694/10,"")</f>
        <v/>
      </c>
      <c r="L694" s="2" t="inlineStr">
        <is>
          <t>3D-model</t>
        </is>
      </c>
      <c r="M694" s="2" t="inlineStr">
        <is>
          <t>Samsung</t>
        </is>
      </c>
      <c r="N694" s="2" t="inlineStr">
        <is>
          <t>Målt på Samsungs 3D-model af tv'et fra samsung.com: nederste VESA-hul 43 cm fra underkant. Metoden ramte 11 kendte mål med højst 1,2 cm afvigelse. Usikkerhed ca. ±1,5 cm.</t>
        </is>
      </c>
    </row>
    <row r="695">
      <c r="A695" s="2" t="inlineStr">
        <is>
          <t>Samsung</t>
        </is>
      </c>
      <c r="B695" s="2" t="inlineStr">
        <is>
          <t>S95F</t>
        </is>
      </c>
      <c r="C695" s="2" t="inlineStr">
        <is>
          <t>2025 S95F 77 inch 4K OLED Vision AI TV</t>
        </is>
      </c>
      <c r="D695" s="2" t="inlineStr">
        <is>
          <t>QE77S95FATXXU, QE77S95FATXXN, TQ77S95FATXXC, GQ77S95FATXZG, QE77S95FATXZT</t>
        </is>
      </c>
      <c r="E695" s="3" t="n">
        <v>77</v>
      </c>
      <c r="F695" s="3" t="n">
        <v>2025</v>
      </c>
      <c r="G695" s="4" t="n">
        <v>98.40000000000001</v>
      </c>
      <c r="H695" s="3" t="n">
        <v>400</v>
      </c>
      <c r="I695" s="3" t="n">
        <v>400</v>
      </c>
      <c r="J695" s="4" t="n"/>
      <c r="K695" s="4">
        <f>IF(ISNUMBER(J695),J695+I695/10,"")</f>
        <v/>
      </c>
      <c r="L695" s="2" t="inlineStr">
        <is>
          <t>estimat</t>
        </is>
      </c>
      <c r="M695" s="2" t="inlineStr"/>
      <c r="N695" s="2" t="inlineStr"/>
    </row>
    <row r="696">
      <c r="A696" s="2" t="inlineStr">
        <is>
          <t>Samsung</t>
        </is>
      </c>
      <c r="B696" s="2" t="inlineStr">
        <is>
          <t>S95F</t>
        </is>
      </c>
      <c r="C696" s="2" t="inlineStr">
        <is>
          <t>2025 S95F 65 inch 4K OLED Vision AI TV</t>
        </is>
      </c>
      <c r="D696" s="2" t="inlineStr">
        <is>
          <t>QE65S95FATXXU, QE65S95FATXXN, TQ65S95FATXXC, GQ65S95FATXZG, QE65S95FATXZT</t>
        </is>
      </c>
      <c r="E696" s="3" t="n">
        <v>65</v>
      </c>
      <c r="F696" s="3" t="n">
        <v>2025</v>
      </c>
      <c r="G696" s="4" t="n">
        <v>82.90000000000001</v>
      </c>
      <c r="H696" s="3" t="n">
        <v>400</v>
      </c>
      <c r="I696" s="3" t="n">
        <v>300</v>
      </c>
      <c r="J696" s="4" t="n">
        <v>30.9</v>
      </c>
      <c r="K696" s="4">
        <f>IF(ISNUMBER(J696),J696+I696/10,"")</f>
        <v/>
      </c>
      <c r="L696" s="2" t="inlineStr">
        <is>
          <t>billedmålt</t>
        </is>
      </c>
      <c r="M696" s="2" t="inlineStr">
        <is>
          <t>Which?</t>
        </is>
      </c>
      <c r="N696" s="2" t="inlineStr">
        <is>
          <t>Billedmålt på Which?-foto (samsung-qe65s95fatxxu): nederste VESA-hul 30,9 cm fra underkant, målt ud fra VESA 400×300 som skala. Usikkerhed ca. ±1 cm. 3D-kontrol (Samsungs 3D-model): 30,8 cm.</t>
        </is>
      </c>
    </row>
    <row r="697">
      <c r="A697" s="2" t="inlineStr">
        <is>
          <t>Samsung</t>
        </is>
      </c>
      <c r="B697" s="2" t="inlineStr">
        <is>
          <t>S95F</t>
        </is>
      </c>
      <c r="C697" s="2" t="inlineStr">
        <is>
          <t>2025 S95F 55 inch 4K OLED Vision AI TV</t>
        </is>
      </c>
      <c r="D697" s="2" t="inlineStr">
        <is>
          <t>QE55S95FATXXU, QE55S95FATXXN, TQ55S95FATXXC, GQ55S95FATXZG, QE55S95FATXZT</t>
        </is>
      </c>
      <c r="E697" s="3" t="n">
        <v>55</v>
      </c>
      <c r="F697" s="3" t="n">
        <v>2025</v>
      </c>
      <c r="G697" s="4" t="n">
        <v>70.59999999999999</v>
      </c>
      <c r="H697" s="3" t="n">
        <v>400</v>
      </c>
      <c r="I697" s="3" t="n">
        <v>300</v>
      </c>
      <c r="J697" s="4" t="n">
        <v>23.8</v>
      </c>
      <c r="K697" s="4">
        <f>IF(ISNUMBER(J697),J697+I697/10,"")</f>
        <v/>
      </c>
      <c r="L697" s="2" t="inlineStr">
        <is>
          <t>billedmålt</t>
        </is>
      </c>
      <c r="M697" s="2" t="inlineStr">
        <is>
          <t>Which?</t>
        </is>
      </c>
      <c r="N697" s="2" t="inlineStr">
        <is>
          <t>Billedmålt på Which?-foto (samsung-qe55s95fatxxu): nederste VESA-hul 23,8 cm fra underkant, målt ud fra VESA 400×300 som skala. Usikkerhed ca. ±1 cm.</t>
        </is>
      </c>
    </row>
    <row r="698">
      <c r="A698" s="2" t="inlineStr">
        <is>
          <t>Samsung</t>
        </is>
      </c>
      <c r="B698" s="2" t="inlineStr">
        <is>
          <t>S95H</t>
        </is>
      </c>
      <c r="C698" s="2" t="inlineStr">
        <is>
          <t>77'' OLED S95H 4K Samsung Vision AI Smart TV (2026) QE77S95HFTXXU</t>
        </is>
      </c>
      <c r="D698" s="2" t="inlineStr">
        <is>
          <t>QE77S95HFTXXU, QE77S95HFTXXN, TQ77S95HFTXXC, GQ77S95HFTXZG, QE77S95HFTXZT</t>
        </is>
      </c>
      <c r="E698" s="3" t="n">
        <v>77</v>
      </c>
      <c r="F698" s="3" t="n">
        <v>2026</v>
      </c>
      <c r="G698" s="4" t="n">
        <v>98.40000000000001</v>
      </c>
      <c r="H698" s="3" t="n">
        <v>400</v>
      </c>
      <c r="I698" s="3" t="n">
        <v>400</v>
      </c>
      <c r="J698" s="4" t="n"/>
      <c r="K698" s="4">
        <f>IF(ISNUMBER(J698),J698+I698/10,"")</f>
        <v/>
      </c>
      <c r="L698" s="2" t="inlineStr">
        <is>
          <t>estimat</t>
        </is>
      </c>
      <c r="M698" s="2" t="inlineStr"/>
      <c r="N698" s="2" t="inlineStr"/>
    </row>
    <row r="699">
      <c r="A699" s="2" t="inlineStr">
        <is>
          <t>Samsung</t>
        </is>
      </c>
      <c r="B699" s="2" t="inlineStr">
        <is>
          <t>S95H</t>
        </is>
      </c>
      <c r="C699" s="2" t="inlineStr">
        <is>
          <t>65'' OLED S95H 4K Samsung Vision AI Smart TV (2026) QE65S95HFTXXU</t>
        </is>
      </c>
      <c r="D699" s="2" t="inlineStr">
        <is>
          <t>QE65S95HFTXXU, QE65S95HFTXXN, TQ65S95HFTXXC, GQ65S95HFTXZG, QE65S95HFTXZT</t>
        </is>
      </c>
      <c r="E699" s="3" t="n">
        <v>65</v>
      </c>
      <c r="F699" s="3" t="n">
        <v>2026</v>
      </c>
      <c r="G699" s="4" t="n">
        <v>82.90000000000001</v>
      </c>
      <c r="H699" s="3" t="n">
        <v>400</v>
      </c>
      <c r="I699" s="3" t="n">
        <v>300</v>
      </c>
      <c r="J699" s="4" t="n">
        <v>30.8</v>
      </c>
      <c r="K699" s="4">
        <f>IF(ISNUMBER(J699),J699+I699/10,"")</f>
        <v/>
      </c>
      <c r="L699" s="2" t="inlineStr">
        <is>
          <t>billedmålt</t>
        </is>
      </c>
      <c r="M699" s="2" t="inlineStr">
        <is>
          <t>Which?</t>
        </is>
      </c>
      <c r="N699" s="2" t="inlineStr">
        <is>
          <t>Billedmålt på Which?-foto (samsung-qe65s95hftxxu): nederste VESA-hul 30,8 cm fra underkant, målt ud fra VESA 400×300 som skala. Usikkerhed ca. ±1 cm. 3D-kontrol (Samsungs 3D-model): 30,8 cm.</t>
        </is>
      </c>
    </row>
    <row r="700">
      <c r="A700" s="2" t="inlineStr">
        <is>
          <t>Samsung</t>
        </is>
      </c>
      <c r="B700" s="2" t="inlineStr">
        <is>
          <t>S95H</t>
        </is>
      </c>
      <c r="C700" s="2" t="inlineStr">
        <is>
          <t>55'' OLED S95H 4K Samsung Vision AI Smart TV (2026) QE55S95HFTXXU</t>
        </is>
      </c>
      <c r="D700" s="2" t="inlineStr">
        <is>
          <t>QE55S95HFTXXU, QE55S95HFTXXN, TQ55S95HFTXXC, GQ55S95HFTXZG, QE55S95HFTXZT</t>
        </is>
      </c>
      <c r="E700" s="3" t="n">
        <v>55</v>
      </c>
      <c r="F700" s="3" t="n">
        <v>2026</v>
      </c>
      <c r="G700" s="4" t="n">
        <v>70.59999999999999</v>
      </c>
      <c r="H700" s="3" t="n">
        <v>400</v>
      </c>
      <c r="I700" s="3" t="n">
        <v>300</v>
      </c>
      <c r="J700" s="4" t="n"/>
      <c r="K700" s="4">
        <f>IF(ISNUMBER(J700),J700+I700/10,"")</f>
        <v/>
      </c>
      <c r="L700" s="2" t="inlineStr">
        <is>
          <t>estimat</t>
        </is>
      </c>
      <c r="M700" s="2" t="inlineStr"/>
      <c r="N700" s="2" t="inlineStr"/>
    </row>
    <row r="701">
      <c r="A701" s="2" t="inlineStr">
        <is>
          <t>Samsung</t>
        </is>
      </c>
      <c r="B701" s="2" t="inlineStr">
        <is>
          <t>TU6905</t>
        </is>
      </c>
      <c r="C701" s="2" t="inlineStr">
        <is>
          <t>TU6905 (2020)</t>
        </is>
      </c>
      <c r="D701" s="2" t="inlineStr">
        <is>
          <t>UE55TU6905KXXC, UE55TU6905</t>
        </is>
      </c>
      <c r="E701" s="3" t="n">
        <v>55</v>
      </c>
      <c r="F701" s="3" t="n">
        <v>2020</v>
      </c>
      <c r="G701" s="4" t="n">
        <v>69</v>
      </c>
      <c r="H701" s="3" t="n">
        <v>200</v>
      </c>
      <c r="I701" s="3" t="n">
        <v>200</v>
      </c>
      <c r="J701" s="4" t="n">
        <v>29</v>
      </c>
      <c r="K701" s="4">
        <f>IF(ISNUMBER(J701),J701+I701/10,"")</f>
        <v/>
      </c>
      <c r="L701" s="2" t="inlineStr">
        <is>
          <t>kundemålt</t>
        </is>
      </c>
      <c r="M701" s="2" t="inlineStr"/>
      <c r="N701" s="2" t="inlineStr">
        <is>
          <t>Kundemålt 5/9-2026 (nederste hul 29 cm fra underkant, øverste hul 20 cm fra overkant).</t>
        </is>
      </c>
    </row>
    <row r="702">
      <c r="A702" s="2" t="inlineStr">
        <is>
          <t>Samsung</t>
        </is>
      </c>
      <c r="B702" s="2" t="inlineStr">
        <is>
          <t>TU7100</t>
        </is>
      </c>
      <c r="C702" s="2" t="inlineStr">
        <is>
          <t>Crystal UHD 4K TU7100</t>
        </is>
      </c>
      <c r="D702" s="2" t="inlineStr">
        <is>
          <t>UE55TU7100KXXU, UE55TU7100KXXC</t>
        </is>
      </c>
      <c r="E702" s="3" t="n">
        <v>55</v>
      </c>
      <c r="F702" s="3" t="n">
        <v>2020</v>
      </c>
      <c r="G702" s="4" t="n">
        <v>70.5</v>
      </c>
      <c r="H702" s="3" t="n">
        <v>200</v>
      </c>
      <c r="I702" s="3" t="n">
        <v>200</v>
      </c>
      <c r="J702" s="4" t="n"/>
      <c r="K702" s="4">
        <f>IF(ISNUMBER(J702),J702+I702/10,"")</f>
        <v/>
      </c>
      <c r="L702" s="2" t="inlineStr">
        <is>
          <t>estimat</t>
        </is>
      </c>
      <c r="M702" s="2" t="inlineStr"/>
      <c r="N702" s="2" t="inlineStr"/>
    </row>
    <row r="703">
      <c r="A703" s="2" t="inlineStr">
        <is>
          <t>Samsung</t>
        </is>
      </c>
      <c r="B703" s="2" t="inlineStr">
        <is>
          <t>TU7100</t>
        </is>
      </c>
      <c r="C703" s="2" t="inlineStr">
        <is>
          <t>Crystal UHD 4K TU7100</t>
        </is>
      </c>
      <c r="D703" s="2" t="inlineStr">
        <is>
          <t>UE43TU7100KXXU, UE43TU7100KXXC</t>
        </is>
      </c>
      <c r="E703" s="3" t="n">
        <v>43</v>
      </c>
      <c r="F703" s="3" t="n">
        <v>2020</v>
      </c>
      <c r="G703" s="4" t="n">
        <v>55.5</v>
      </c>
      <c r="H703" s="3" t="n">
        <v>200</v>
      </c>
      <c r="I703" s="3" t="n">
        <v>200</v>
      </c>
      <c r="J703" s="4" t="n"/>
      <c r="K703" s="4">
        <f>IF(ISNUMBER(J703),J703+I703/10,"")</f>
        <v/>
      </c>
      <c r="L703" s="2" t="inlineStr">
        <is>
          <t>estimat</t>
        </is>
      </c>
      <c r="M703" s="2" t="inlineStr"/>
      <c r="N703" s="2" t="inlineStr"/>
    </row>
    <row r="704">
      <c r="A704" s="2" t="inlineStr">
        <is>
          <t>Samsung</t>
        </is>
      </c>
      <c r="B704" s="2" t="inlineStr">
        <is>
          <t>The Frame LS03B</t>
        </is>
      </c>
      <c r="C704" s="2" t="inlineStr">
        <is>
          <t>The Frame (2022)</t>
        </is>
      </c>
      <c r="D704" s="2" t="inlineStr">
        <is>
          <t>QE55LS03BAUXXC, QN55LS03BAFXZA, GQ55LS03BAU, QE55LS03BGUXXN, TQ55LS03BGUXXC</t>
        </is>
      </c>
      <c r="E704" s="3" t="n">
        <v>55</v>
      </c>
      <c r="F704" s="3" t="n">
        <v>2022</v>
      </c>
      <c r="G704" s="4" t="n">
        <v>70.8</v>
      </c>
      <c r="H704" s="3" t="n">
        <v>200</v>
      </c>
      <c r="I704" s="3" t="n">
        <v>200</v>
      </c>
      <c r="J704" s="4" t="n">
        <v>26.7</v>
      </c>
      <c r="K704" s="4">
        <f>IF(ISNUMBER(J704),J704+I704/10,"")</f>
        <v/>
      </c>
      <c r="L704" s="2" t="inlineStr">
        <is>
          <t>reference</t>
        </is>
      </c>
      <c r="M704" s="2" t="inlineStr"/>
      <c r="N704" s="2" t="inlineStr">
        <is>
          <t>Reference fra Equals' tv-checker (US-kode QN55LS03BAFXZA, 2022): 24,1 cm fra overkant til øverste skrue, VESA 200, 26,7 cm fra underkant til nederste skrue. Ikke egen måling, og gælder ikke automatisk LS03D/LS03F.</t>
        </is>
      </c>
    </row>
    <row r="705">
      <c r="A705" s="2" t="inlineStr">
        <is>
          <t>Samsung</t>
        </is>
      </c>
      <c r="B705" s="2" t="inlineStr">
        <is>
          <t>The Frame LS03D</t>
        </is>
      </c>
      <c r="C705" s="2" t="inlineStr">
        <is>
          <t>The Frame QLED 4K</t>
        </is>
      </c>
      <c r="D705" s="2" t="inlineStr">
        <is>
          <t>QE55LS03DAUXXU, QE55LS03DAUXXC, QE55LS03DAUXXN, TQ55LS03DAUXXC, GQ55LS03DAUXZG</t>
        </is>
      </c>
      <c r="E705" s="3" t="n">
        <v>55</v>
      </c>
      <c r="F705" s="3" t="n">
        <v>2024</v>
      </c>
      <c r="G705" s="4" t="n">
        <v>70.5</v>
      </c>
      <c r="H705" s="3" t="n">
        <v>200</v>
      </c>
      <c r="I705" s="3" t="n">
        <v>200</v>
      </c>
      <c r="J705" s="4" t="n"/>
      <c r="K705" s="4">
        <f>IF(ISNUMBER(J705),J705+I705/10,"")</f>
        <v/>
      </c>
      <c r="L705" s="2" t="inlineStr">
        <is>
          <t>estimat</t>
        </is>
      </c>
      <c r="M705" s="2" t="inlineStr"/>
      <c r="N705" s="2" t="inlineStr"/>
    </row>
    <row r="706">
      <c r="A706" s="2" t="inlineStr">
        <is>
          <t>Samsung</t>
        </is>
      </c>
      <c r="B706" s="2" t="inlineStr">
        <is>
          <t>The Frame LS03D</t>
        </is>
      </c>
      <c r="C706" s="2" t="inlineStr">
        <is>
          <t>The Frame QLED 4K</t>
        </is>
      </c>
      <c r="D706" s="2" t="inlineStr">
        <is>
          <t>QE32LS03DBUXXU, QE32LS03DBUXXC</t>
        </is>
      </c>
      <c r="E706" s="3" t="n">
        <v>32</v>
      </c>
      <c r="F706" s="3" t="n">
        <v>2024</v>
      </c>
      <c r="G706" s="4" t="n">
        <v>41</v>
      </c>
      <c r="H706" s="3" t="n">
        <v>100</v>
      </c>
      <c r="I706" s="3" t="n">
        <v>100</v>
      </c>
      <c r="J706" s="4" t="n"/>
      <c r="K706" s="4">
        <f>IF(ISNUMBER(J706),J706+I706/10,"")</f>
        <v/>
      </c>
      <c r="L706" s="2" t="inlineStr">
        <is>
          <t>estimat</t>
        </is>
      </c>
      <c r="M706" s="2" t="inlineStr"/>
      <c r="N706" s="2" t="inlineStr"/>
    </row>
    <row r="707">
      <c r="A707" s="2" t="inlineStr">
        <is>
          <t>Samsung</t>
        </is>
      </c>
      <c r="B707" s="2" t="inlineStr">
        <is>
          <t>U7000F</t>
        </is>
      </c>
      <c r="C707" s="2" t="inlineStr">
        <is>
          <t>2025 U7000F 85 inch 4K Crystal UHD Smart TV</t>
        </is>
      </c>
      <c r="D707" s="2" t="inlineStr">
        <is>
          <t>UE85U7000FKXXU, UE85U7000FUXXN, UE85U7000FUXZT</t>
        </is>
      </c>
      <c r="E707" s="3" t="n">
        <v>85</v>
      </c>
      <c r="F707" s="3" t="n">
        <v>2025</v>
      </c>
      <c r="G707" s="4" t="n">
        <v>108.3</v>
      </c>
      <c r="H707" s="3" t="n">
        <v>400</v>
      </c>
      <c r="I707" s="3" t="n">
        <v>300</v>
      </c>
      <c r="J707" s="4" t="n">
        <v>19.8</v>
      </c>
      <c r="K707" s="4">
        <f>IF(ISNUMBER(J707),J707+I707/10,"")</f>
        <v/>
      </c>
      <c r="L707" s="2" t="inlineStr">
        <is>
          <t>3D-model</t>
        </is>
      </c>
      <c r="M707" s="2" t="inlineStr">
        <is>
          <t>Samsung</t>
        </is>
      </c>
      <c r="N707" s="2" t="inlineStr">
        <is>
          <t>Målt på Samsungs 3D-model af tv'et fra samsung.com: nederste VESA-hul 19,8 cm fra underkant. Metoden ramte 11 kendte mål med højst 1,2 cm afvigelse. Usikkerhed ca. ±1,5 cm.</t>
        </is>
      </c>
    </row>
    <row r="708">
      <c r="A708" s="2" t="inlineStr">
        <is>
          <t>Samsung</t>
        </is>
      </c>
      <c r="B708" s="2" t="inlineStr">
        <is>
          <t>U7000F</t>
        </is>
      </c>
      <c r="C708" s="2" t="inlineStr">
        <is>
          <t>2025 U7000F 75 inch 4K Crystal UHD Smart TV</t>
        </is>
      </c>
      <c r="D708" s="2" t="inlineStr">
        <is>
          <t>UE75U7000FKXXU, UE75U7000FUXXN, UE75U7000FUXZT</t>
        </is>
      </c>
      <c r="E708" s="3" t="n">
        <v>75</v>
      </c>
      <c r="F708" s="3" t="n">
        <v>2025</v>
      </c>
      <c r="G708" s="4" t="n">
        <v>95.8</v>
      </c>
      <c r="H708" s="3" t="n">
        <v>400</v>
      </c>
      <c r="I708" s="3" t="n">
        <v>300</v>
      </c>
      <c r="J708" s="4" t="n">
        <v>19.9</v>
      </c>
      <c r="K708" s="4">
        <f>IF(ISNUMBER(J708),J708+I708/10,"")</f>
        <v/>
      </c>
      <c r="L708" s="2" t="inlineStr">
        <is>
          <t>3D-model</t>
        </is>
      </c>
      <c r="M708" s="2" t="inlineStr">
        <is>
          <t>Samsung</t>
        </is>
      </c>
      <c r="N708" s="2" t="inlineStr">
        <is>
          <t>Målt på Samsungs 3D-model af tv'et fra samsung.com: nederste VESA-hul 19,9 cm fra underkant. Metoden ramte 11 kendte mål med højst 1,2 cm afvigelse. Usikkerhed ca. ±1,5 cm.</t>
        </is>
      </c>
    </row>
    <row r="709">
      <c r="A709" s="2" t="inlineStr">
        <is>
          <t>Samsung</t>
        </is>
      </c>
      <c r="B709" s="2" t="inlineStr">
        <is>
          <t>U7000F</t>
        </is>
      </c>
      <c r="C709" s="2" t="inlineStr">
        <is>
          <t>2025 U7000F 65 inch 4K Crystal UHD Smart TV</t>
        </is>
      </c>
      <c r="D709" s="2" t="inlineStr">
        <is>
          <t>UE65U7000FKXXU, UE65U7000FUXXN, UE65U7000FUXZT</t>
        </is>
      </c>
      <c r="E709" s="3" t="n">
        <v>65</v>
      </c>
      <c r="F709" s="3" t="n">
        <v>2025</v>
      </c>
      <c r="G709" s="4" t="n">
        <v>83.09999999999999</v>
      </c>
      <c r="H709" s="3" t="n">
        <v>200</v>
      </c>
      <c r="I709" s="3" t="n">
        <v>200</v>
      </c>
      <c r="J709" s="4" t="n">
        <v>22.4</v>
      </c>
      <c r="K709" s="4">
        <f>IF(ISNUMBER(J709),J709+I709/10,"")</f>
        <v/>
      </c>
      <c r="L709" s="2" t="inlineStr">
        <is>
          <t>billedmålt</t>
        </is>
      </c>
      <c r="M709" s="2" t="inlineStr">
        <is>
          <t>Which?</t>
        </is>
      </c>
      <c r="N709" s="2" t="inlineStr">
        <is>
          <t>Billedmålt på Which?-foto (samsung-ue65u7000fkxxu): nederste VESA-hul 22,4 cm fra underkant, målt ud fra VESA 200×200 som skala. Usikkerhed ca. ±1 cm.</t>
        </is>
      </c>
    </row>
    <row r="710">
      <c r="A710" s="2" t="inlineStr">
        <is>
          <t>Samsung</t>
        </is>
      </c>
      <c r="B710" s="2" t="inlineStr">
        <is>
          <t>U7000F</t>
        </is>
      </c>
      <c r="C710" s="2" t="inlineStr">
        <is>
          <t>2025 U7000F 55 inch 4K Crystal UHD Smart TV</t>
        </is>
      </c>
      <c r="D710" s="2" t="inlineStr">
        <is>
          <t>UE55U7000FKXXU, UE55U7000FUXXN, UE55U7000FUXZT</t>
        </is>
      </c>
      <c r="E710" s="3" t="n">
        <v>55</v>
      </c>
      <c r="F710" s="3" t="n">
        <v>2025</v>
      </c>
      <c r="G710" s="4" t="n">
        <v>70.8</v>
      </c>
      <c r="H710" s="3" t="n">
        <v>200</v>
      </c>
      <c r="I710" s="3" t="n">
        <v>200</v>
      </c>
      <c r="J710" s="4" t="n">
        <v>22.6</v>
      </c>
      <c r="K710" s="4">
        <f>IF(ISNUMBER(J710),J710+I710/10,"")</f>
        <v/>
      </c>
      <c r="L710" s="2" t="inlineStr">
        <is>
          <t>billedmålt</t>
        </is>
      </c>
      <c r="M710" s="2" t="inlineStr">
        <is>
          <t>Which?</t>
        </is>
      </c>
      <c r="N710" s="2" t="inlineStr">
        <is>
          <t>Billedmålt på Which?-foto (samsung-ue55u7000fkxxu): nederste VESA-hul 22,6 cm fra underkant, målt ud fra VESA 200×200 som skala. Usikkerhed ca. ±1 cm.</t>
        </is>
      </c>
    </row>
    <row r="711">
      <c r="A711" s="2" t="inlineStr">
        <is>
          <t>Samsung</t>
        </is>
      </c>
      <c r="B711" s="2" t="inlineStr">
        <is>
          <t>U7000F</t>
        </is>
      </c>
      <c r="C711" s="2" t="inlineStr">
        <is>
          <t>2025 U7000F 50 inch 4K Crystal UHD Smart TV</t>
        </is>
      </c>
      <c r="D711" s="2" t="inlineStr">
        <is>
          <t>UE50U7000FKXXU, UE50U7000FUXXN, UE50U7000FUXZT</t>
        </is>
      </c>
      <c r="E711" s="3" t="n">
        <v>50</v>
      </c>
      <c r="F711" s="3" t="n">
        <v>2025</v>
      </c>
      <c r="G711" s="4" t="n">
        <v>64.40000000000001</v>
      </c>
      <c r="H711" s="3" t="n">
        <v>200</v>
      </c>
      <c r="I711" s="3" t="n">
        <v>200</v>
      </c>
      <c r="J711" s="4" t="n">
        <v>22.3</v>
      </c>
      <c r="K711" s="4">
        <f>IF(ISNUMBER(J711),J711+I711/10,"")</f>
        <v/>
      </c>
      <c r="L711" s="2" t="inlineStr">
        <is>
          <t>billedmålt</t>
        </is>
      </c>
      <c r="M711" s="2" t="inlineStr">
        <is>
          <t>Which?</t>
        </is>
      </c>
      <c r="N711" s="2" t="inlineStr">
        <is>
          <t>Billedmålt på Which?-foto (samsung-ue50u7000fkxxu): nederste VESA-hul 22,3 cm fra underkant, målt ud fra VESA 200×200 som skala. Usikkerhed ca. ±1 cm.</t>
        </is>
      </c>
    </row>
    <row r="712">
      <c r="A712" s="2" t="inlineStr">
        <is>
          <t>Samsung</t>
        </is>
      </c>
      <c r="B712" s="2" t="inlineStr">
        <is>
          <t>U7000F</t>
        </is>
      </c>
      <c r="C712" s="2" t="inlineStr">
        <is>
          <t>2025 U7000F 43 inch 4K Crystal UHD Smart TV</t>
        </is>
      </c>
      <c r="D712" s="2" t="inlineStr">
        <is>
          <t>UE43U7000FKXXU, UE43U7000FUXXN, UE43U7000FUXZT</t>
        </is>
      </c>
      <c r="E712" s="3" t="n">
        <v>43</v>
      </c>
      <c r="F712" s="3" t="n">
        <v>2025</v>
      </c>
      <c r="G712" s="4" t="n">
        <v>55.9</v>
      </c>
      <c r="H712" s="3" t="n">
        <v>200</v>
      </c>
      <c r="I712" s="3" t="n">
        <v>200</v>
      </c>
      <c r="J712" s="4" t="n">
        <v>20.4</v>
      </c>
      <c r="K712" s="4">
        <f>IF(ISNUMBER(J712),J712+I712/10,"")</f>
        <v/>
      </c>
      <c r="L712" s="2" t="inlineStr">
        <is>
          <t>billedmålt</t>
        </is>
      </c>
      <c r="M712" s="2" t="inlineStr">
        <is>
          <t>Which?</t>
        </is>
      </c>
      <c r="N712" s="2" t="inlineStr">
        <is>
          <t>Billedmålt på Which?-foto (samsung-ue43u7000fkxxu): nederste VESA-hul 20,4 cm fra underkant, målt ud fra VESA 200×200 som skala. Usikkerhed ca. ±1 cm.</t>
        </is>
      </c>
    </row>
    <row r="713">
      <c r="A713" s="2" t="inlineStr">
        <is>
          <t>Samsung</t>
        </is>
      </c>
      <c r="B713" s="2" t="inlineStr">
        <is>
          <t>U7000H</t>
        </is>
      </c>
      <c r="C713" s="2" t="inlineStr">
        <is>
          <t>2026 U7000H 85 inch Crystal UHD 4K Samsung Vision AI TV</t>
        </is>
      </c>
      <c r="D713" s="2" t="inlineStr">
        <is>
          <t>UE85U7000HKXXU, UE85U7000HUXZT</t>
        </is>
      </c>
      <c r="E713" s="3" t="n">
        <v>85</v>
      </c>
      <c r="F713" s="3" t="n">
        <v>2026</v>
      </c>
      <c r="G713" s="4" t="n">
        <v>108.3</v>
      </c>
      <c r="H713" s="3" t="n">
        <v>400</v>
      </c>
      <c r="I713" s="3" t="n">
        <v>300</v>
      </c>
      <c r="J713" s="4" t="n">
        <v>19.8</v>
      </c>
      <c r="K713" s="4">
        <f>IF(ISNUMBER(J713),J713+I713/10,"")</f>
        <v/>
      </c>
      <c r="L713" s="2" t="inlineStr">
        <is>
          <t>3D-model</t>
        </is>
      </c>
      <c r="M713" s="2" t="inlineStr">
        <is>
          <t>Samsung</t>
        </is>
      </c>
      <c r="N713" s="2" t="inlineStr">
        <is>
          <t>Målt på Samsungs 3D-model af tv'et fra samsung.com: nederste VESA-hul 19,8 cm fra underkant. Metoden ramte 11 kendte mål med højst 1,2 cm afvigelse. Usikkerhed ca. ±1,5 cm.</t>
        </is>
      </c>
    </row>
    <row r="714">
      <c r="A714" s="2" t="inlineStr">
        <is>
          <t>Samsung</t>
        </is>
      </c>
      <c r="B714" s="2" t="inlineStr">
        <is>
          <t>U7000H</t>
        </is>
      </c>
      <c r="C714" s="2" t="inlineStr">
        <is>
          <t>2026 U7000H 75 inch Crystal UHD 4K Samsung Vision AI TV</t>
        </is>
      </c>
      <c r="D714" s="2" t="inlineStr">
        <is>
          <t>UE75U7000HKXXU, UE75U7000HUXZT</t>
        </is>
      </c>
      <c r="E714" s="3" t="n">
        <v>75</v>
      </c>
      <c r="F714" s="3" t="n">
        <v>2026</v>
      </c>
      <c r="G714" s="4" t="n">
        <v>95.8</v>
      </c>
      <c r="H714" s="3" t="n">
        <v>400</v>
      </c>
      <c r="I714" s="3" t="n">
        <v>300</v>
      </c>
      <c r="J714" s="4" t="n">
        <v>19.9</v>
      </c>
      <c r="K714" s="4">
        <f>IF(ISNUMBER(J714),J714+I714/10,"")</f>
        <v/>
      </c>
      <c r="L714" s="2" t="inlineStr">
        <is>
          <t>3D-model</t>
        </is>
      </c>
      <c r="M714" s="2" t="inlineStr">
        <is>
          <t>Samsung</t>
        </is>
      </c>
      <c r="N714" s="2" t="inlineStr">
        <is>
          <t>Målt på Samsungs 3D-model af tv'et fra samsung.com: nederste VESA-hul 19,9 cm fra underkant. Metoden ramte 11 kendte mål med højst 1,2 cm afvigelse. Usikkerhed ca. ±1,5 cm.</t>
        </is>
      </c>
    </row>
    <row r="715">
      <c r="A715" s="2" t="inlineStr">
        <is>
          <t>Samsung</t>
        </is>
      </c>
      <c r="B715" s="2" t="inlineStr">
        <is>
          <t>U7000H</t>
        </is>
      </c>
      <c r="C715" s="2" t="inlineStr">
        <is>
          <t>2026 U7000H 65 inch Crystal UHD 4K Samsung Vision AI TV</t>
        </is>
      </c>
      <c r="D715" s="2" t="inlineStr">
        <is>
          <t>UE65U7000HKXXU, UE65U7000HUXZT</t>
        </is>
      </c>
      <c r="E715" s="3" t="n">
        <v>65</v>
      </c>
      <c r="F715" s="3" t="n">
        <v>2026</v>
      </c>
      <c r="G715" s="4" t="n">
        <v>83.09999999999999</v>
      </c>
      <c r="H715" s="3" t="n">
        <v>200</v>
      </c>
      <c r="I715" s="3" t="n">
        <v>200</v>
      </c>
      <c r="J715" s="4" t="n"/>
      <c r="K715" s="4">
        <f>IF(ISNUMBER(J715),J715+I715/10,"")</f>
        <v/>
      </c>
      <c r="L715" s="2" t="inlineStr">
        <is>
          <t>estimat</t>
        </is>
      </c>
      <c r="M715" s="2" t="inlineStr"/>
      <c r="N715" s="2" t="inlineStr"/>
    </row>
    <row r="716">
      <c r="A716" s="2" t="inlineStr">
        <is>
          <t>Samsung</t>
        </is>
      </c>
      <c r="B716" s="2" t="inlineStr">
        <is>
          <t>U7000H</t>
        </is>
      </c>
      <c r="C716" s="2" t="inlineStr">
        <is>
          <t>2026 U7000H 55 inch Crystal UHD 4K Samsung Vision AI TV</t>
        </is>
      </c>
      <c r="D716" s="2" t="inlineStr">
        <is>
          <t>UE55U7000HKXXU, UE55U7000HUXZT</t>
        </is>
      </c>
      <c r="E716" s="3" t="n">
        <v>55</v>
      </c>
      <c r="F716" s="3" t="n">
        <v>2026</v>
      </c>
      <c r="G716" s="4" t="n">
        <v>70.8</v>
      </c>
      <c r="H716" s="3" t="n">
        <v>200</v>
      </c>
      <c r="I716" s="3" t="n">
        <v>200</v>
      </c>
      <c r="J716" s="4" t="n"/>
      <c r="K716" s="4">
        <f>IF(ISNUMBER(J716),J716+I716/10,"")</f>
        <v/>
      </c>
      <c r="L716" s="2" t="inlineStr">
        <is>
          <t>estimat</t>
        </is>
      </c>
      <c r="M716" s="2" t="inlineStr"/>
      <c r="N716" s="2" t="inlineStr"/>
    </row>
    <row r="717">
      <c r="A717" s="2" t="inlineStr">
        <is>
          <t>Samsung</t>
        </is>
      </c>
      <c r="B717" s="2" t="inlineStr">
        <is>
          <t>U7000H</t>
        </is>
      </c>
      <c r="C717" s="2" t="inlineStr">
        <is>
          <t>2026 U7000H 50 inch Crystal UHD 4K Samsung Vision AI TV</t>
        </is>
      </c>
      <c r="D717" s="2" t="inlineStr">
        <is>
          <t>UE50U7000HKXXU, UE50U7000HUXZT</t>
        </is>
      </c>
      <c r="E717" s="3" t="n">
        <v>50</v>
      </c>
      <c r="F717" s="3" t="n">
        <v>2026</v>
      </c>
      <c r="G717" s="4" t="n">
        <v>64.40000000000001</v>
      </c>
      <c r="H717" s="3" t="n">
        <v>200</v>
      </c>
      <c r="I717" s="3" t="n">
        <v>200</v>
      </c>
      <c r="J717" s="4" t="n"/>
      <c r="K717" s="4">
        <f>IF(ISNUMBER(J717),J717+I717/10,"")</f>
        <v/>
      </c>
      <c r="L717" s="2" t="inlineStr">
        <is>
          <t>estimat</t>
        </is>
      </c>
      <c r="M717" s="2" t="inlineStr"/>
      <c r="N717" s="2" t="inlineStr"/>
    </row>
    <row r="718">
      <c r="A718" s="2" t="inlineStr">
        <is>
          <t>Samsung</t>
        </is>
      </c>
      <c r="B718" s="2" t="inlineStr">
        <is>
          <t>U7000H</t>
        </is>
      </c>
      <c r="C718" s="2" t="inlineStr">
        <is>
          <t>2026 U7000H 43 inch Crystal UHD 4K Samsung Vision AI TV</t>
        </is>
      </c>
      <c r="D718" s="2" t="inlineStr">
        <is>
          <t>UE43U7000HKXXU, UE43U7000HUXZT</t>
        </is>
      </c>
      <c r="E718" s="3" t="n">
        <v>43</v>
      </c>
      <c r="F718" s="3" t="n">
        <v>2026</v>
      </c>
      <c r="G718" s="4" t="n">
        <v>55.9</v>
      </c>
      <c r="H718" s="3" t="n">
        <v>200</v>
      </c>
      <c r="I718" s="3" t="n">
        <v>200</v>
      </c>
      <c r="J718" s="4" t="n"/>
      <c r="K718" s="4">
        <f>IF(ISNUMBER(J718),J718+I718/10,"")</f>
        <v/>
      </c>
      <c r="L718" s="2" t="inlineStr">
        <is>
          <t>estimat</t>
        </is>
      </c>
      <c r="M718" s="2" t="inlineStr"/>
      <c r="N718" s="2" t="inlineStr"/>
    </row>
    <row r="719">
      <c r="A719" s="2" t="inlineStr">
        <is>
          <t>Samsung</t>
        </is>
      </c>
      <c r="B719" s="2" t="inlineStr">
        <is>
          <t>U7005H</t>
        </is>
      </c>
      <c r="C719" s="2" t="inlineStr">
        <is>
          <t>65" Crystal UHD U7005H 4K Samsung Vision AI Smart TV (2026)</t>
        </is>
      </c>
      <c r="D719" s="2" t="inlineStr">
        <is>
          <t>TU65U7005HUXNA, TU65U7005HUXXC</t>
        </is>
      </c>
      <c r="E719" s="3" t="n">
        <v>65</v>
      </c>
      <c r="F719" s="3" t="n">
        <v>2026</v>
      </c>
      <c r="G719" s="4" t="n">
        <v>83.09999999999999</v>
      </c>
      <c r="H719" s="3" t="n">
        <v>200</v>
      </c>
      <c r="I719" s="3" t="n">
        <v>200</v>
      </c>
      <c r="J719" s="4" t="n"/>
      <c r="K719" s="4">
        <f>IF(ISNUMBER(J719),J719+I719/10,"")</f>
        <v/>
      </c>
      <c r="L719" s="2" t="inlineStr">
        <is>
          <t>estimat</t>
        </is>
      </c>
      <c r="M719" s="2" t="inlineStr"/>
      <c r="N719" s="2" t="inlineStr"/>
    </row>
    <row r="720">
      <c r="A720" s="2" t="inlineStr">
        <is>
          <t>Samsung</t>
        </is>
      </c>
      <c r="B720" s="2" t="inlineStr">
        <is>
          <t>U7005H</t>
        </is>
      </c>
      <c r="C720" s="2" t="inlineStr">
        <is>
          <t>55" Crystal UHD U7005H 4K Samsung Vision AI Smart TV (2026)</t>
        </is>
      </c>
      <c r="D720" s="2" t="inlineStr">
        <is>
          <t>TU55U7005HUXNA, TU55U7005HUXXC</t>
        </is>
      </c>
      <c r="E720" s="3" t="n">
        <v>55</v>
      </c>
      <c r="F720" s="3" t="n">
        <v>2026</v>
      </c>
      <c r="G720" s="4" t="n">
        <v>70.8</v>
      </c>
      <c r="H720" s="3" t="n">
        <v>200</v>
      </c>
      <c r="I720" s="3" t="n">
        <v>200</v>
      </c>
      <c r="J720" s="4" t="n"/>
      <c r="K720" s="4">
        <f>IF(ISNUMBER(J720),J720+I720/10,"")</f>
        <v/>
      </c>
      <c r="L720" s="2" t="inlineStr">
        <is>
          <t>estimat</t>
        </is>
      </c>
      <c r="M720" s="2" t="inlineStr"/>
      <c r="N720" s="2" t="inlineStr"/>
    </row>
    <row r="721">
      <c r="A721" s="2" t="inlineStr">
        <is>
          <t>Samsung</t>
        </is>
      </c>
      <c r="B721" s="2" t="inlineStr">
        <is>
          <t>U7005H</t>
        </is>
      </c>
      <c r="C721" s="2" t="inlineStr">
        <is>
          <t>50" Crystal UHD U7005H 4K Samsung Vision AI Smart TV (2026)</t>
        </is>
      </c>
      <c r="D721" s="2" t="inlineStr">
        <is>
          <t>TU50U7005HUXNA, TU50U7005HUXXC</t>
        </is>
      </c>
      <c r="E721" s="3" t="n">
        <v>50</v>
      </c>
      <c r="F721" s="3" t="n">
        <v>2026</v>
      </c>
      <c r="G721" s="4" t="n">
        <v>64.40000000000001</v>
      </c>
      <c r="H721" s="3" t="n">
        <v>200</v>
      </c>
      <c r="I721" s="3" t="n">
        <v>200</v>
      </c>
      <c r="J721" s="4" t="n"/>
      <c r="K721" s="4">
        <f>IF(ISNUMBER(J721),J721+I721/10,"")</f>
        <v/>
      </c>
      <c r="L721" s="2" t="inlineStr">
        <is>
          <t>estimat</t>
        </is>
      </c>
      <c r="M721" s="2" t="inlineStr"/>
      <c r="N721" s="2" t="inlineStr"/>
    </row>
    <row r="722">
      <c r="A722" s="2" t="inlineStr">
        <is>
          <t>Samsung</t>
        </is>
      </c>
      <c r="B722" s="2" t="inlineStr">
        <is>
          <t>U7005H</t>
        </is>
      </c>
      <c r="C722" s="2" t="inlineStr">
        <is>
          <t>43" Crystal UHD U7005H 4K Samsung Vision AI Smart TV (2026)</t>
        </is>
      </c>
      <c r="D722" s="2" t="inlineStr">
        <is>
          <t>TU43U7005HUXNA, TU43U7005HUXXC</t>
        </is>
      </c>
      <c r="E722" s="3" t="n">
        <v>43</v>
      </c>
      <c r="F722" s="3" t="n">
        <v>2026</v>
      </c>
      <c r="G722" s="4" t="n">
        <v>55.9</v>
      </c>
      <c r="H722" s="3" t="n">
        <v>200</v>
      </c>
      <c r="I722" s="3" t="n">
        <v>200</v>
      </c>
      <c r="J722" s="4" t="n"/>
      <c r="K722" s="4">
        <f>IF(ISNUMBER(J722),J722+I722/10,"")</f>
        <v/>
      </c>
      <c r="L722" s="2" t="inlineStr">
        <is>
          <t>estimat</t>
        </is>
      </c>
      <c r="M722" s="2" t="inlineStr"/>
      <c r="N722" s="2" t="inlineStr"/>
    </row>
    <row r="723">
      <c r="A723" s="2" t="inlineStr">
        <is>
          <t>Samsung</t>
        </is>
      </c>
      <c r="B723" s="2" t="inlineStr">
        <is>
          <t>U7020H</t>
        </is>
      </c>
      <c r="C723" s="2" t="inlineStr">
        <is>
          <t>2026 U7020H 85 inch Crystal UHD 4K Samsung Vision AI TV</t>
        </is>
      </c>
      <c r="D723" s="2" t="inlineStr">
        <is>
          <t>UE85U7020HKXXU</t>
        </is>
      </c>
      <c r="E723" s="3" t="n">
        <v>85</v>
      </c>
      <c r="F723" s="3" t="n">
        <v>2026</v>
      </c>
      <c r="G723" s="4" t="n">
        <v>108.3</v>
      </c>
      <c r="H723" s="3" t="n">
        <v>400</v>
      </c>
      <c r="I723" s="3" t="n">
        <v>300</v>
      </c>
      <c r="J723" s="4" t="n">
        <v>19.8</v>
      </c>
      <c r="K723" s="4">
        <f>IF(ISNUMBER(J723),J723+I723/10,"")</f>
        <v/>
      </c>
      <c r="L723" s="2" t="inlineStr">
        <is>
          <t>3D-model</t>
        </is>
      </c>
      <c r="M723" s="2" t="inlineStr">
        <is>
          <t>Samsung</t>
        </is>
      </c>
      <c r="N723" s="2" t="inlineStr">
        <is>
          <t>Målt på Samsungs 3D-model af tv'et fra samsung.com: nederste VESA-hul 19,8 cm fra underkant. Metoden ramte 11 kendte mål med højst 1,2 cm afvigelse. Usikkerhed ca. ±1,5 cm.</t>
        </is>
      </c>
    </row>
    <row r="724">
      <c r="A724" s="2" t="inlineStr">
        <is>
          <t>Samsung</t>
        </is>
      </c>
      <c r="B724" s="2" t="inlineStr">
        <is>
          <t>U7020H</t>
        </is>
      </c>
      <c r="C724" s="2" t="inlineStr">
        <is>
          <t>2026 U7020H 75 inch Crystal UHD 4K Samsung Vision AI TV</t>
        </is>
      </c>
      <c r="D724" s="2" t="inlineStr">
        <is>
          <t>UE75U7020HKXXU</t>
        </is>
      </c>
      <c r="E724" s="3" t="n">
        <v>75</v>
      </c>
      <c r="F724" s="3" t="n">
        <v>2026</v>
      </c>
      <c r="G724" s="4" t="n">
        <v>95.8</v>
      </c>
      <c r="H724" s="3" t="n">
        <v>400</v>
      </c>
      <c r="I724" s="3" t="n">
        <v>300</v>
      </c>
      <c r="J724" s="4" t="n">
        <v>19.9</v>
      </c>
      <c r="K724" s="4">
        <f>IF(ISNUMBER(J724),J724+I724/10,"")</f>
        <v/>
      </c>
      <c r="L724" s="2" t="inlineStr">
        <is>
          <t>3D-model</t>
        </is>
      </c>
      <c r="M724" s="2" t="inlineStr">
        <is>
          <t>Samsung</t>
        </is>
      </c>
      <c r="N724" s="2" t="inlineStr">
        <is>
          <t>Målt på Samsungs 3D-model af tv'et fra samsung.com: nederste VESA-hul 19,9 cm fra underkant. Metoden ramte 11 kendte mål med højst 1,2 cm afvigelse. Usikkerhed ca. ±1,5 cm.</t>
        </is>
      </c>
    </row>
    <row r="725">
      <c r="A725" s="2" t="inlineStr">
        <is>
          <t>Samsung</t>
        </is>
      </c>
      <c r="B725" s="2" t="inlineStr">
        <is>
          <t>U7020H</t>
        </is>
      </c>
      <c r="C725" s="2" t="inlineStr">
        <is>
          <t>2026 U7020H 65 inch Crystal UHD 4K Samsung Vision AI TV</t>
        </is>
      </c>
      <c r="D725" s="2" t="inlineStr">
        <is>
          <t>UE65U7020HKXXU</t>
        </is>
      </c>
      <c r="E725" s="3" t="n">
        <v>65</v>
      </c>
      <c r="F725" s="3" t="n">
        <v>2026</v>
      </c>
      <c r="G725" s="4" t="n">
        <v>83.09999999999999</v>
      </c>
      <c r="H725" s="3" t="n">
        <v>200</v>
      </c>
      <c r="I725" s="3" t="n">
        <v>200</v>
      </c>
      <c r="J725" s="4" t="n"/>
      <c r="K725" s="4">
        <f>IF(ISNUMBER(J725),J725+I725/10,"")</f>
        <v/>
      </c>
      <c r="L725" s="2" t="inlineStr">
        <is>
          <t>estimat</t>
        </is>
      </c>
      <c r="M725" s="2" t="inlineStr"/>
      <c r="N725" s="2" t="inlineStr"/>
    </row>
    <row r="726">
      <c r="A726" s="2" t="inlineStr">
        <is>
          <t>Samsung</t>
        </is>
      </c>
      <c r="B726" s="2" t="inlineStr">
        <is>
          <t>U7020H</t>
        </is>
      </c>
      <c r="C726" s="2" t="inlineStr">
        <is>
          <t>2026 U7020H 55 inch Crystal UHD 4K Samsung Vision AI TV</t>
        </is>
      </c>
      <c r="D726" s="2" t="inlineStr">
        <is>
          <t>UE55U7020HKXXU</t>
        </is>
      </c>
      <c r="E726" s="3" t="n">
        <v>55</v>
      </c>
      <c r="F726" s="3" t="n">
        <v>2026</v>
      </c>
      <c r="G726" s="4" t="n">
        <v>70.8</v>
      </c>
      <c r="H726" s="3" t="n">
        <v>200</v>
      </c>
      <c r="I726" s="3" t="n">
        <v>200</v>
      </c>
      <c r="J726" s="4" t="n"/>
      <c r="K726" s="4">
        <f>IF(ISNUMBER(J726),J726+I726/10,"")</f>
        <v/>
      </c>
      <c r="L726" s="2" t="inlineStr">
        <is>
          <t>estimat</t>
        </is>
      </c>
      <c r="M726" s="2" t="inlineStr"/>
      <c r="N726" s="2" t="inlineStr"/>
    </row>
    <row r="727">
      <c r="A727" s="2" t="inlineStr">
        <is>
          <t>Samsung</t>
        </is>
      </c>
      <c r="B727" s="2" t="inlineStr">
        <is>
          <t>U7020H</t>
        </is>
      </c>
      <c r="C727" s="2" t="inlineStr">
        <is>
          <t>2026 U7020H 50 inch Crystal UHD 4K Samsung Vision AI TV</t>
        </is>
      </c>
      <c r="D727" s="2" t="inlineStr">
        <is>
          <t>UE50U7020HKXXU</t>
        </is>
      </c>
      <c r="E727" s="3" t="n">
        <v>50</v>
      </c>
      <c r="F727" s="3" t="n">
        <v>2026</v>
      </c>
      <c r="G727" s="4" t="n">
        <v>64.40000000000001</v>
      </c>
      <c r="H727" s="3" t="n">
        <v>200</v>
      </c>
      <c r="I727" s="3" t="n">
        <v>200</v>
      </c>
      <c r="J727" s="4" t="n"/>
      <c r="K727" s="4">
        <f>IF(ISNUMBER(J727),J727+I727/10,"")</f>
        <v/>
      </c>
      <c r="L727" s="2" t="inlineStr">
        <is>
          <t>estimat</t>
        </is>
      </c>
      <c r="M727" s="2" t="inlineStr"/>
      <c r="N727" s="2" t="inlineStr"/>
    </row>
    <row r="728">
      <c r="A728" s="2" t="inlineStr">
        <is>
          <t>Samsung</t>
        </is>
      </c>
      <c r="B728" s="2" t="inlineStr">
        <is>
          <t>U7020H</t>
        </is>
      </c>
      <c r="C728" s="2" t="inlineStr">
        <is>
          <t>2026 U7020H 43 inch Crystal UHD 4K Samsung Vision AI TV</t>
        </is>
      </c>
      <c r="D728" s="2" t="inlineStr">
        <is>
          <t>UE43U7020HKXXU</t>
        </is>
      </c>
      <c r="E728" s="3" t="n">
        <v>43</v>
      </c>
      <c r="F728" s="3" t="n">
        <v>2026</v>
      </c>
      <c r="G728" s="4" t="n">
        <v>55.9</v>
      </c>
      <c r="H728" s="3" t="n">
        <v>200</v>
      </c>
      <c r="I728" s="3" t="n">
        <v>200</v>
      </c>
      <c r="J728" s="4" t="n"/>
      <c r="K728" s="4">
        <f>IF(ISNUMBER(J728),J728+I728/10,"")</f>
        <v/>
      </c>
      <c r="L728" s="2" t="inlineStr">
        <is>
          <t>estimat</t>
        </is>
      </c>
      <c r="M728" s="2" t="inlineStr"/>
      <c r="N728" s="2" t="inlineStr"/>
    </row>
    <row r="729">
      <c r="A729" s="2" t="inlineStr">
        <is>
          <t>Samsung</t>
        </is>
      </c>
      <c r="B729" s="2" t="inlineStr">
        <is>
          <t>U7025H</t>
        </is>
      </c>
      <c r="C729" s="2" t="inlineStr">
        <is>
          <t>65" Crystal UHD U7025H 4K Samsung Vision AI Smart TV (2026)</t>
        </is>
      </c>
      <c r="D729" s="2" t="inlineStr">
        <is>
          <t>TU65U7025HUXNA</t>
        </is>
      </c>
      <c r="E729" s="3" t="n">
        <v>65</v>
      </c>
      <c r="F729" s="3" t="n">
        <v>2026</v>
      </c>
      <c r="G729" s="4" t="n">
        <v>83.09999999999999</v>
      </c>
      <c r="H729" s="3" t="n">
        <v>200</v>
      </c>
      <c r="I729" s="3" t="n">
        <v>200</v>
      </c>
      <c r="J729" s="4" t="n"/>
      <c r="K729" s="4">
        <f>IF(ISNUMBER(J729),J729+I729/10,"")</f>
        <v/>
      </c>
      <c r="L729" s="2" t="inlineStr">
        <is>
          <t>estimat</t>
        </is>
      </c>
      <c r="M729" s="2" t="inlineStr"/>
      <c r="N729" s="2" t="inlineStr"/>
    </row>
    <row r="730">
      <c r="A730" s="2" t="inlineStr">
        <is>
          <t>Samsung</t>
        </is>
      </c>
      <c r="B730" s="2" t="inlineStr">
        <is>
          <t>U7025H</t>
        </is>
      </c>
      <c r="C730" s="2" t="inlineStr">
        <is>
          <t>55" Crystal UHD U7025H 4K Samsung Vision AI Smart TV (2026)</t>
        </is>
      </c>
      <c r="D730" s="2" t="inlineStr">
        <is>
          <t>TU55U7025HUXNA</t>
        </is>
      </c>
      <c r="E730" s="3" t="n">
        <v>55</v>
      </c>
      <c r="F730" s="3" t="n">
        <v>2026</v>
      </c>
      <c r="G730" s="4" t="n">
        <v>70.8</v>
      </c>
      <c r="H730" s="3" t="n">
        <v>200</v>
      </c>
      <c r="I730" s="3" t="n">
        <v>200</v>
      </c>
      <c r="J730" s="4" t="n"/>
      <c r="K730" s="4">
        <f>IF(ISNUMBER(J730),J730+I730/10,"")</f>
        <v/>
      </c>
      <c r="L730" s="2" t="inlineStr">
        <is>
          <t>estimat</t>
        </is>
      </c>
      <c r="M730" s="2" t="inlineStr"/>
      <c r="N730" s="2" t="inlineStr"/>
    </row>
    <row r="731">
      <c r="A731" s="2" t="inlineStr">
        <is>
          <t>Samsung</t>
        </is>
      </c>
      <c r="B731" s="2" t="inlineStr">
        <is>
          <t>U7025H</t>
        </is>
      </c>
      <c r="C731" s="2" t="inlineStr">
        <is>
          <t>50" Crystal UHD U7025H 4K Samsung Vision AI Smart TV (2026)</t>
        </is>
      </c>
      <c r="D731" s="2" t="inlineStr">
        <is>
          <t>TU50U7025HUXNA</t>
        </is>
      </c>
      <c r="E731" s="3" t="n">
        <v>50</v>
      </c>
      <c r="F731" s="3" t="n">
        <v>2026</v>
      </c>
      <c r="G731" s="4" t="n">
        <v>64.40000000000001</v>
      </c>
      <c r="H731" s="3" t="n">
        <v>200</v>
      </c>
      <c r="I731" s="3" t="n">
        <v>200</v>
      </c>
      <c r="J731" s="4" t="n"/>
      <c r="K731" s="4">
        <f>IF(ISNUMBER(J731),J731+I731/10,"")</f>
        <v/>
      </c>
      <c r="L731" s="2" t="inlineStr">
        <is>
          <t>estimat</t>
        </is>
      </c>
      <c r="M731" s="2" t="inlineStr"/>
      <c r="N731" s="2" t="inlineStr"/>
    </row>
    <row r="732">
      <c r="A732" s="2" t="inlineStr">
        <is>
          <t>Samsung</t>
        </is>
      </c>
      <c r="B732" s="2" t="inlineStr">
        <is>
          <t>U7025H</t>
        </is>
      </c>
      <c r="C732" s="2" t="inlineStr">
        <is>
          <t>43" Crystal UHD U7025H 4K Samsung Vision AI Smart TV (2026)</t>
        </is>
      </c>
      <c r="D732" s="2" t="inlineStr">
        <is>
          <t>TU43U7025HUXNA</t>
        </is>
      </c>
      <c r="E732" s="3" t="n">
        <v>43</v>
      </c>
      <c r="F732" s="3" t="n">
        <v>2026</v>
      </c>
      <c r="G732" s="4" t="n">
        <v>55.9</v>
      </c>
      <c r="H732" s="3" t="n">
        <v>200</v>
      </c>
      <c r="I732" s="3" t="n">
        <v>200</v>
      </c>
      <c r="J732" s="4" t="n"/>
      <c r="K732" s="4">
        <f>IF(ISNUMBER(J732),J732+I732/10,"")</f>
        <v/>
      </c>
      <c r="L732" s="2" t="inlineStr">
        <is>
          <t>estimat</t>
        </is>
      </c>
      <c r="M732" s="2" t="inlineStr"/>
      <c r="N732" s="2" t="inlineStr"/>
    </row>
    <row r="733">
      <c r="A733" s="2" t="inlineStr">
        <is>
          <t>Samsung</t>
        </is>
      </c>
      <c r="B733" s="2" t="inlineStr">
        <is>
          <t>U7070H</t>
        </is>
      </c>
      <c r="C733" s="2" t="inlineStr">
        <is>
          <t>65" Crystal UHD U7070H Smart TV (2026)</t>
        </is>
      </c>
      <c r="D733" s="2" t="inlineStr">
        <is>
          <t>UE65U7070HUXXN</t>
        </is>
      </c>
      <c r="E733" s="3" t="n">
        <v>65</v>
      </c>
      <c r="F733" s="3" t="n">
        <v>2026</v>
      </c>
      <c r="G733" s="4" t="n">
        <v>83.09999999999999</v>
      </c>
      <c r="H733" s="3" t="n">
        <v>200</v>
      </c>
      <c r="I733" s="3" t="n">
        <v>200</v>
      </c>
      <c r="J733" s="4" t="n"/>
      <c r="K733" s="4">
        <f>IF(ISNUMBER(J733),J733+I733/10,"")</f>
        <v/>
      </c>
      <c r="L733" s="2" t="inlineStr">
        <is>
          <t>estimat</t>
        </is>
      </c>
      <c r="M733" s="2" t="inlineStr"/>
      <c r="N733" s="2" t="inlineStr"/>
    </row>
    <row r="734">
      <c r="A734" s="2" t="inlineStr">
        <is>
          <t>Samsung</t>
        </is>
      </c>
      <c r="B734" s="2" t="inlineStr">
        <is>
          <t>U7070H</t>
        </is>
      </c>
      <c r="C734" s="2" t="inlineStr">
        <is>
          <t>55" Crystal UHD U7070H Smart TV (2026)</t>
        </is>
      </c>
      <c r="D734" s="2" t="inlineStr">
        <is>
          <t>UE55U7070HUXXN</t>
        </is>
      </c>
      <c r="E734" s="3" t="n">
        <v>55</v>
      </c>
      <c r="F734" s="3" t="n">
        <v>2026</v>
      </c>
      <c r="G734" s="4" t="n">
        <v>70.8</v>
      </c>
      <c r="H734" s="3" t="n">
        <v>200</v>
      </c>
      <c r="I734" s="3" t="n">
        <v>200</v>
      </c>
      <c r="J734" s="4" t="n"/>
      <c r="K734" s="4">
        <f>IF(ISNUMBER(J734),J734+I734/10,"")</f>
        <v/>
      </c>
      <c r="L734" s="2" t="inlineStr">
        <is>
          <t>estimat</t>
        </is>
      </c>
      <c r="M734" s="2" t="inlineStr"/>
      <c r="N734" s="2" t="inlineStr"/>
    </row>
    <row r="735">
      <c r="A735" s="2" t="inlineStr">
        <is>
          <t>Samsung</t>
        </is>
      </c>
      <c r="B735" s="2" t="inlineStr">
        <is>
          <t>U7079H</t>
        </is>
      </c>
      <c r="C735" s="2" t="inlineStr">
        <is>
          <t>65" Crystal UHD U7079H 4K Samsung Vision AI Smart TV (2026)</t>
        </is>
      </c>
      <c r="D735" s="2" t="inlineStr">
        <is>
          <t>GU65U7079HUXZG</t>
        </is>
      </c>
      <c r="E735" s="3" t="n">
        <v>65</v>
      </c>
      <c r="F735" s="3" t="n">
        <v>2026</v>
      </c>
      <c r="G735" s="4" t="n">
        <v>83.09999999999999</v>
      </c>
      <c r="H735" s="3" t="n">
        <v>200</v>
      </c>
      <c r="I735" s="3" t="n">
        <v>200</v>
      </c>
      <c r="J735" s="4" t="n"/>
      <c r="K735" s="4">
        <f>IF(ISNUMBER(J735),J735+I735/10,"")</f>
        <v/>
      </c>
      <c r="L735" s="2" t="inlineStr">
        <is>
          <t>estimat</t>
        </is>
      </c>
      <c r="M735" s="2" t="inlineStr"/>
      <c r="N735" s="2" t="inlineStr"/>
    </row>
    <row r="736">
      <c r="A736" s="2" t="inlineStr">
        <is>
          <t>Samsung</t>
        </is>
      </c>
      <c r="B736" s="2" t="inlineStr">
        <is>
          <t>U7079H</t>
        </is>
      </c>
      <c r="C736" s="2" t="inlineStr">
        <is>
          <t>55" Crystal UHD U7079H 4K Samsung Vision AI Smart TV (2026)</t>
        </is>
      </c>
      <c r="D736" s="2" t="inlineStr">
        <is>
          <t>GU55U7079HUXZG</t>
        </is>
      </c>
      <c r="E736" s="3" t="n">
        <v>55</v>
      </c>
      <c r="F736" s="3" t="n">
        <v>2026</v>
      </c>
      <c r="G736" s="4" t="n">
        <v>70.8</v>
      </c>
      <c r="H736" s="3" t="n">
        <v>200</v>
      </c>
      <c r="I736" s="3" t="n">
        <v>200</v>
      </c>
      <c r="J736" s="4" t="n"/>
      <c r="K736" s="4">
        <f>IF(ISNUMBER(J736),J736+I736/10,"")</f>
        <v/>
      </c>
      <c r="L736" s="2" t="inlineStr">
        <is>
          <t>estimat</t>
        </is>
      </c>
      <c r="M736" s="2" t="inlineStr"/>
      <c r="N736" s="2" t="inlineStr"/>
    </row>
    <row r="737">
      <c r="A737" s="2" t="inlineStr">
        <is>
          <t>Samsung</t>
        </is>
      </c>
      <c r="B737" s="2" t="inlineStr">
        <is>
          <t>U7079H</t>
        </is>
      </c>
      <c r="C737" s="2" t="inlineStr">
        <is>
          <t>50" Crystal UHD U7079H 4K Samsung Vision AI Smart TV (2026)</t>
        </is>
      </c>
      <c r="D737" s="2" t="inlineStr">
        <is>
          <t>GU50U7079HUXZG</t>
        </is>
      </c>
      <c r="E737" s="3" t="n">
        <v>50</v>
      </c>
      <c r="F737" s="3" t="n">
        <v>2026</v>
      </c>
      <c r="G737" s="4" t="n">
        <v>64.40000000000001</v>
      </c>
      <c r="H737" s="3" t="n">
        <v>200</v>
      </c>
      <c r="I737" s="3" t="n">
        <v>200</v>
      </c>
      <c r="J737" s="4" t="n"/>
      <c r="K737" s="4">
        <f>IF(ISNUMBER(J737),J737+I737/10,"")</f>
        <v/>
      </c>
      <c r="L737" s="2" t="inlineStr">
        <is>
          <t>estimat</t>
        </is>
      </c>
      <c r="M737" s="2" t="inlineStr"/>
      <c r="N737" s="2" t="inlineStr"/>
    </row>
    <row r="738">
      <c r="A738" s="2" t="inlineStr">
        <is>
          <t>Samsung</t>
        </is>
      </c>
      <c r="B738" s="2" t="inlineStr">
        <is>
          <t>U7079H</t>
        </is>
      </c>
      <c r="C738" s="2" t="inlineStr">
        <is>
          <t>43" Crystal UHD U7079H 4K Samsung Vision AI Smart TV (2026)</t>
        </is>
      </c>
      <c r="D738" s="2" t="inlineStr">
        <is>
          <t>GU43U7079HUXZG</t>
        </is>
      </c>
      <c r="E738" s="3" t="n">
        <v>43</v>
      </c>
      <c r="F738" s="3" t="n">
        <v>2026</v>
      </c>
      <c r="G738" s="4" t="n">
        <v>55.9</v>
      </c>
      <c r="H738" s="3" t="n">
        <v>200</v>
      </c>
      <c r="I738" s="3" t="n">
        <v>200</v>
      </c>
      <c r="J738" s="4" t="n"/>
      <c r="K738" s="4">
        <f>IF(ISNUMBER(J738),J738+I738/10,"")</f>
        <v/>
      </c>
      <c r="L738" s="2" t="inlineStr">
        <is>
          <t>estimat</t>
        </is>
      </c>
      <c r="M738" s="2" t="inlineStr"/>
      <c r="N738" s="2" t="inlineStr"/>
    </row>
    <row r="739">
      <c r="A739" s="2" t="inlineStr">
        <is>
          <t>Samsung</t>
        </is>
      </c>
      <c r="B739" s="2" t="inlineStr">
        <is>
          <t>U7090H</t>
        </is>
      </c>
      <c r="C739" s="2" t="inlineStr">
        <is>
          <t>65" Crystal UHD U7090H Smart TV (2026)</t>
        </is>
      </c>
      <c r="D739" s="2" t="inlineStr">
        <is>
          <t>UE65U7090HUXXN</t>
        </is>
      </c>
      <c r="E739" s="3" t="n">
        <v>65</v>
      </c>
      <c r="F739" s="3" t="n">
        <v>2026</v>
      </c>
      <c r="G739" s="4" t="n">
        <v>83.09999999999999</v>
      </c>
      <c r="H739" s="3" t="n">
        <v>200</v>
      </c>
      <c r="I739" s="3" t="n">
        <v>200</v>
      </c>
      <c r="J739" s="4" t="n"/>
      <c r="K739" s="4">
        <f>IF(ISNUMBER(J739),J739+I739/10,"")</f>
        <v/>
      </c>
      <c r="L739" s="2" t="inlineStr">
        <is>
          <t>estimat</t>
        </is>
      </c>
      <c r="M739" s="2" t="inlineStr"/>
      <c r="N739" s="2" t="inlineStr"/>
    </row>
    <row r="740">
      <c r="A740" s="2" t="inlineStr">
        <is>
          <t>Samsung</t>
        </is>
      </c>
      <c r="B740" s="2" t="inlineStr">
        <is>
          <t>U7090H</t>
        </is>
      </c>
      <c r="C740" s="2" t="inlineStr">
        <is>
          <t>55" Crystal UHD U7090H Smart TV (2026)</t>
        </is>
      </c>
      <c r="D740" s="2" t="inlineStr">
        <is>
          <t>UE55U7090HUXXN</t>
        </is>
      </c>
      <c r="E740" s="3" t="n">
        <v>55</v>
      </c>
      <c r="F740" s="3" t="n">
        <v>2026</v>
      </c>
      <c r="G740" s="4" t="n">
        <v>70.8</v>
      </c>
      <c r="H740" s="3" t="n">
        <v>200</v>
      </c>
      <c r="I740" s="3" t="n">
        <v>200</v>
      </c>
      <c r="J740" s="4" t="n"/>
      <c r="K740" s="4">
        <f>IF(ISNUMBER(J740),J740+I740/10,"")</f>
        <v/>
      </c>
      <c r="L740" s="2" t="inlineStr">
        <is>
          <t>estimat</t>
        </is>
      </c>
      <c r="M740" s="2" t="inlineStr"/>
      <c r="N740" s="2" t="inlineStr"/>
    </row>
    <row r="741">
      <c r="A741" s="2" t="inlineStr">
        <is>
          <t>Samsung</t>
        </is>
      </c>
      <c r="B741" s="2" t="inlineStr">
        <is>
          <t>U7090H</t>
        </is>
      </c>
      <c r="C741" s="2" t="inlineStr">
        <is>
          <t>50" Crystal UHD U7090H Smart TV (2026)</t>
        </is>
      </c>
      <c r="D741" s="2" t="inlineStr">
        <is>
          <t>UE50U7090HUXXN</t>
        </is>
      </c>
      <c r="E741" s="3" t="n">
        <v>50</v>
      </c>
      <c r="F741" s="3" t="n">
        <v>2026</v>
      </c>
      <c r="G741" s="4" t="n">
        <v>64.40000000000001</v>
      </c>
      <c r="H741" s="3" t="n">
        <v>200</v>
      </c>
      <c r="I741" s="3" t="n">
        <v>200</v>
      </c>
      <c r="J741" s="4" t="n"/>
      <c r="K741" s="4">
        <f>IF(ISNUMBER(J741),J741+I741/10,"")</f>
        <v/>
      </c>
      <c r="L741" s="2" t="inlineStr">
        <is>
          <t>estimat</t>
        </is>
      </c>
      <c r="M741" s="2" t="inlineStr"/>
      <c r="N741" s="2" t="inlineStr"/>
    </row>
    <row r="742">
      <c r="A742" s="2" t="inlineStr">
        <is>
          <t>Samsung</t>
        </is>
      </c>
      <c r="B742" s="2" t="inlineStr">
        <is>
          <t>U7090H</t>
        </is>
      </c>
      <c r="C742" s="2" t="inlineStr">
        <is>
          <t>43" Crystal UHD U7090H Smart TV (2026)</t>
        </is>
      </c>
      <c r="D742" s="2" t="inlineStr">
        <is>
          <t>UE43U7090HUXXN</t>
        </is>
      </c>
      <c r="E742" s="3" t="n">
        <v>43</v>
      </c>
      <c r="F742" s="3" t="n">
        <v>2026</v>
      </c>
      <c r="G742" s="4" t="n">
        <v>55.9</v>
      </c>
      <c r="H742" s="3" t="n">
        <v>200</v>
      </c>
      <c r="I742" s="3" t="n">
        <v>200</v>
      </c>
      <c r="J742" s="4" t="n"/>
      <c r="K742" s="4">
        <f>IF(ISNUMBER(J742),J742+I742/10,"")</f>
        <v/>
      </c>
      <c r="L742" s="2" t="inlineStr">
        <is>
          <t>estimat</t>
        </is>
      </c>
      <c r="M742" s="2" t="inlineStr"/>
      <c r="N742" s="2" t="inlineStr"/>
    </row>
    <row r="743">
      <c r="A743" s="2" t="inlineStr">
        <is>
          <t>Samsung</t>
        </is>
      </c>
      <c r="B743" s="2" t="inlineStr">
        <is>
          <t>U7099H</t>
        </is>
      </c>
      <c r="C743" s="2" t="inlineStr">
        <is>
          <t>65" Crystal UHD U7099H 4K Samsung Vision AI Smart TV (2026)</t>
        </is>
      </c>
      <c r="D743" s="2" t="inlineStr">
        <is>
          <t>GU65U7099HUXZG</t>
        </is>
      </c>
      <c r="E743" s="3" t="n">
        <v>65</v>
      </c>
      <c r="F743" s="3" t="n">
        <v>2026</v>
      </c>
      <c r="G743" s="4" t="n">
        <v>83.09999999999999</v>
      </c>
      <c r="H743" s="3" t="n">
        <v>200</v>
      </c>
      <c r="I743" s="3" t="n">
        <v>200</v>
      </c>
      <c r="J743" s="4" t="n"/>
      <c r="K743" s="4">
        <f>IF(ISNUMBER(J743),J743+I743/10,"")</f>
        <v/>
      </c>
      <c r="L743" s="2" t="inlineStr">
        <is>
          <t>estimat</t>
        </is>
      </c>
      <c r="M743" s="2" t="inlineStr"/>
      <c r="N743" s="2" t="inlineStr"/>
    </row>
    <row r="744">
      <c r="A744" s="2" t="inlineStr">
        <is>
          <t>Samsung</t>
        </is>
      </c>
      <c r="B744" s="2" t="inlineStr">
        <is>
          <t>U7099H</t>
        </is>
      </c>
      <c r="C744" s="2" t="inlineStr">
        <is>
          <t>55" Crystal UHD U7099H 4K Samsung Vision AI Smart TV (2026)</t>
        </is>
      </c>
      <c r="D744" s="2" t="inlineStr">
        <is>
          <t>GU55U7099HUXZG</t>
        </is>
      </c>
      <c r="E744" s="3" t="n">
        <v>55</v>
      </c>
      <c r="F744" s="3" t="n">
        <v>2026</v>
      </c>
      <c r="G744" s="4" t="n">
        <v>70.8</v>
      </c>
      <c r="H744" s="3" t="n">
        <v>200</v>
      </c>
      <c r="I744" s="3" t="n">
        <v>200</v>
      </c>
      <c r="J744" s="4" t="n"/>
      <c r="K744" s="4">
        <f>IF(ISNUMBER(J744),J744+I744/10,"")</f>
        <v/>
      </c>
      <c r="L744" s="2" t="inlineStr">
        <is>
          <t>estimat</t>
        </is>
      </c>
      <c r="M744" s="2" t="inlineStr"/>
      <c r="N744" s="2" t="inlineStr"/>
    </row>
    <row r="745">
      <c r="A745" s="2" t="inlineStr">
        <is>
          <t>Samsung</t>
        </is>
      </c>
      <c r="B745" s="2" t="inlineStr">
        <is>
          <t>U7099H</t>
        </is>
      </c>
      <c r="C745" s="2" t="inlineStr">
        <is>
          <t>50" Crystal UHD U7099H 4K Samsung Vision AI Smart TV (2026)</t>
        </is>
      </c>
      <c r="D745" s="2" t="inlineStr">
        <is>
          <t>GU50U7099HUXZG</t>
        </is>
      </c>
      <c r="E745" s="3" t="n">
        <v>50</v>
      </c>
      <c r="F745" s="3" t="n">
        <v>2026</v>
      </c>
      <c r="G745" s="4" t="n">
        <v>64.40000000000001</v>
      </c>
      <c r="H745" s="3" t="n">
        <v>200</v>
      </c>
      <c r="I745" s="3" t="n">
        <v>200</v>
      </c>
      <c r="J745" s="4" t="n"/>
      <c r="K745" s="4">
        <f>IF(ISNUMBER(J745),J745+I745/10,"")</f>
        <v/>
      </c>
      <c r="L745" s="2" t="inlineStr">
        <is>
          <t>estimat</t>
        </is>
      </c>
      <c r="M745" s="2" t="inlineStr"/>
      <c r="N745" s="2" t="inlineStr"/>
    </row>
    <row r="746">
      <c r="A746" s="2" t="inlineStr">
        <is>
          <t>Samsung</t>
        </is>
      </c>
      <c r="B746" s="2" t="inlineStr">
        <is>
          <t>U7099H</t>
        </is>
      </c>
      <c r="C746" s="2" t="inlineStr">
        <is>
          <t>43" Crystal UHD U7099H 4K Samsung Vision AI Smart TV (2026)</t>
        </is>
      </c>
      <c r="D746" s="2" t="inlineStr">
        <is>
          <t>GU43U7099HUXZG</t>
        </is>
      </c>
      <c r="E746" s="3" t="n">
        <v>43</v>
      </c>
      <c r="F746" s="3" t="n">
        <v>2026</v>
      </c>
      <c r="G746" s="4" t="n">
        <v>55.9</v>
      </c>
      <c r="H746" s="3" t="n">
        <v>200</v>
      </c>
      <c r="I746" s="3" t="n">
        <v>200</v>
      </c>
      <c r="J746" s="4" t="n"/>
      <c r="K746" s="4">
        <f>IF(ISNUMBER(J746),J746+I746/10,"")</f>
        <v/>
      </c>
      <c r="L746" s="2" t="inlineStr">
        <is>
          <t>estimat</t>
        </is>
      </c>
      <c r="M746" s="2" t="inlineStr"/>
      <c r="N746" s="2" t="inlineStr"/>
    </row>
    <row r="747">
      <c r="A747" s="2" t="inlineStr">
        <is>
          <t>Samsung</t>
        </is>
      </c>
      <c r="B747" s="2" t="inlineStr">
        <is>
          <t>U8000F</t>
        </is>
      </c>
      <c r="C747" s="2" t="inlineStr">
        <is>
          <t>2025 U8000F 85 inch 4K Crystal UHD Smart TV</t>
        </is>
      </c>
      <c r="D747" s="2" t="inlineStr">
        <is>
          <t>UE85U8000FKXXU, UE85U8000FUXXN, UE85U8000FUXZT</t>
        </is>
      </c>
      <c r="E747" s="3" t="n">
        <v>85</v>
      </c>
      <c r="F747" s="3" t="n">
        <v>2025</v>
      </c>
      <c r="G747" s="4" t="n">
        <v>108.3</v>
      </c>
      <c r="H747" s="3" t="n">
        <v>400</v>
      </c>
      <c r="I747" s="3" t="n">
        <v>300</v>
      </c>
      <c r="J747" s="4" t="n"/>
      <c r="K747" s="4">
        <f>IF(ISNUMBER(J747),J747+I747/10,"")</f>
        <v/>
      </c>
      <c r="L747" s="2" t="inlineStr">
        <is>
          <t>estimat</t>
        </is>
      </c>
      <c r="M747" s="2" t="inlineStr"/>
      <c r="N747" s="2" t="inlineStr"/>
    </row>
    <row r="748">
      <c r="A748" s="2" t="inlineStr">
        <is>
          <t>Samsung</t>
        </is>
      </c>
      <c r="B748" s="2" t="inlineStr">
        <is>
          <t>U8000F</t>
        </is>
      </c>
      <c r="C748" s="2" t="inlineStr">
        <is>
          <t>2025 U8000F 75 inch 4K Crystal UHD Smart TV</t>
        </is>
      </c>
      <c r="D748" s="2" t="inlineStr">
        <is>
          <t>UE75U8000FKXXU, UE75U8000FUXXN, UE75U8000FUXZT</t>
        </is>
      </c>
      <c r="E748" s="3" t="n">
        <v>75</v>
      </c>
      <c r="F748" s="3" t="n">
        <v>2025</v>
      </c>
      <c r="G748" s="4" t="n">
        <v>95.8</v>
      </c>
      <c r="H748" s="3" t="n">
        <v>400</v>
      </c>
      <c r="I748" s="3" t="n">
        <v>300</v>
      </c>
      <c r="J748" s="4" t="n">
        <v>20.3</v>
      </c>
      <c r="K748" s="4">
        <f>IF(ISNUMBER(J748),J748+I748/10,"")</f>
        <v/>
      </c>
      <c r="L748" s="2" t="inlineStr">
        <is>
          <t>billedmålt</t>
        </is>
      </c>
      <c r="M748" s="2" t="inlineStr">
        <is>
          <t>Which?</t>
        </is>
      </c>
      <c r="N748" s="2" t="inlineStr">
        <is>
          <t>Billedmålt på Which?-foto (samsung-ue75u8000fkxxu): nederste VESA-hul 20,3 cm fra underkant, målt ud fra VESA 400×300 som skala. Usikkerhed ca. ±1 cm.</t>
        </is>
      </c>
    </row>
    <row r="749">
      <c r="A749" s="2" t="inlineStr">
        <is>
          <t>Samsung</t>
        </is>
      </c>
      <c r="B749" s="2" t="inlineStr">
        <is>
          <t>U8000F</t>
        </is>
      </c>
      <c r="C749" s="2" t="inlineStr">
        <is>
          <t>2025 U8000F 70 inch 4K Crystal UHD Smart TV</t>
        </is>
      </c>
      <c r="D749" s="2" t="inlineStr">
        <is>
          <t>UE70U8000FKXXU, UE70U8000FUXXN</t>
        </is>
      </c>
      <c r="E749" s="3" t="n">
        <v>70</v>
      </c>
      <c r="F749" s="3" t="n">
        <v>2025</v>
      </c>
      <c r="G749" s="4" t="n">
        <v>87.5</v>
      </c>
      <c r="H749" s="3" t="n">
        <v>400</v>
      </c>
      <c r="I749" s="3" t="n">
        <v>300</v>
      </c>
      <c r="J749" s="4" t="n"/>
      <c r="K749" s="4">
        <f>IF(ISNUMBER(J749),J749+I749/10,"")</f>
        <v/>
      </c>
      <c r="L749" s="2" t="inlineStr">
        <is>
          <t>estimat</t>
        </is>
      </c>
      <c r="M749" s="2" t="inlineStr"/>
      <c r="N749" s="2" t="inlineStr"/>
    </row>
    <row r="750">
      <c r="A750" s="2" t="inlineStr">
        <is>
          <t>Samsung</t>
        </is>
      </c>
      <c r="B750" s="2" t="inlineStr">
        <is>
          <t>U8000F</t>
        </is>
      </c>
      <c r="C750" s="2" t="inlineStr">
        <is>
          <t>2025 U8000F 65 inch 4K Crystal UHD Smart TV</t>
        </is>
      </c>
      <c r="D750" s="2" t="inlineStr">
        <is>
          <t>UE65U8000FKXXU, UE65U8000FUXXN, UE65U8000FUXZT</t>
        </is>
      </c>
      <c r="E750" s="3" t="n">
        <v>65</v>
      </c>
      <c r="F750" s="3" t="n">
        <v>2025</v>
      </c>
      <c r="G750" s="4" t="n">
        <v>83.09999999999999</v>
      </c>
      <c r="H750" s="3" t="n">
        <v>200</v>
      </c>
      <c r="I750" s="3" t="n">
        <v>200</v>
      </c>
      <c r="J750" s="4" t="n">
        <v>22.4</v>
      </c>
      <c r="K750" s="4">
        <f>IF(ISNUMBER(J750),J750+I750/10,"")</f>
        <v/>
      </c>
      <c r="L750" s="2" t="inlineStr">
        <is>
          <t>billedmålt</t>
        </is>
      </c>
      <c r="M750" s="2" t="inlineStr">
        <is>
          <t>Which?</t>
        </is>
      </c>
      <c r="N750" s="2" t="inlineStr">
        <is>
          <t>Billedmålt på Which?-foto (samsung-ue65u8000fkxxu): nederste VESA-hul 22,4 cm fra underkant, målt ud fra VESA 200×200 som skala. Usikkerhed ca. ±1 cm.</t>
        </is>
      </c>
    </row>
    <row r="751">
      <c r="A751" s="2" t="inlineStr">
        <is>
          <t>Samsung</t>
        </is>
      </c>
      <c r="B751" s="2" t="inlineStr">
        <is>
          <t>U8000F</t>
        </is>
      </c>
      <c r="C751" s="2" t="inlineStr">
        <is>
          <t>2025 U8000F 58 inch 4K Crystal UHD Smart TV</t>
        </is>
      </c>
      <c r="D751" s="2" t="inlineStr">
        <is>
          <t>UE58U8000FKXXU, UE58U8000FUXXN</t>
        </is>
      </c>
      <c r="E751" s="3" t="n">
        <v>58</v>
      </c>
      <c r="F751" s="3" t="n">
        <v>2025</v>
      </c>
      <c r="G751" s="4" t="n">
        <v>74.90000000000001</v>
      </c>
      <c r="H751" s="3" t="n">
        <v>200</v>
      </c>
      <c r="I751" s="3" t="n">
        <v>200</v>
      </c>
      <c r="J751" s="4" t="n"/>
      <c r="K751" s="4">
        <f>IF(ISNUMBER(J751),J751+I751/10,"")</f>
        <v/>
      </c>
      <c r="L751" s="2" t="inlineStr">
        <is>
          <t>estimat</t>
        </is>
      </c>
      <c r="M751" s="2" t="inlineStr"/>
      <c r="N751" s="2" t="inlineStr"/>
    </row>
    <row r="752">
      <c r="A752" s="2" t="inlineStr">
        <is>
          <t>Samsung</t>
        </is>
      </c>
      <c r="B752" s="2" t="inlineStr">
        <is>
          <t>U8000F</t>
        </is>
      </c>
      <c r="C752" s="2" t="inlineStr">
        <is>
          <t>2025 U8000F 55 inch 4K Crystal UHD Smart TV</t>
        </is>
      </c>
      <c r="D752" s="2" t="inlineStr">
        <is>
          <t>UE55U8000FKXXU, UE55U8000FUXXN, UE55U8000FUXZT</t>
        </is>
      </c>
      <c r="E752" s="3" t="n">
        <v>55</v>
      </c>
      <c r="F752" s="3" t="n">
        <v>2025</v>
      </c>
      <c r="G752" s="4" t="n">
        <v>70.8</v>
      </c>
      <c r="H752" s="3" t="n">
        <v>200</v>
      </c>
      <c r="I752" s="3" t="n">
        <v>200</v>
      </c>
      <c r="J752" s="4" t="n">
        <v>22.6</v>
      </c>
      <c r="K752" s="4">
        <f>IF(ISNUMBER(J752),J752+I752/10,"")</f>
        <v/>
      </c>
      <c r="L752" s="2" t="inlineStr">
        <is>
          <t>billedmålt</t>
        </is>
      </c>
      <c r="M752" s="2" t="inlineStr">
        <is>
          <t>Which?</t>
        </is>
      </c>
      <c r="N752" s="2" t="inlineStr">
        <is>
          <t>Billedmålt på Which?-foto (samsung-ue55u8000fkxxu): nederste VESA-hul 22,6 cm fra underkant, målt ud fra VESA 200×200 som skala. Usikkerhed ca. ±1 cm.</t>
        </is>
      </c>
    </row>
    <row r="753">
      <c r="A753" s="2" t="inlineStr">
        <is>
          <t>Samsung</t>
        </is>
      </c>
      <c r="B753" s="2" t="inlineStr">
        <is>
          <t>U8000F</t>
        </is>
      </c>
      <c r="C753" s="2" t="inlineStr">
        <is>
          <t>2025 U8000F 50 inch 4K Crystal UHD Smart TV</t>
        </is>
      </c>
      <c r="D753" s="2" t="inlineStr">
        <is>
          <t>UE50U8000FKXXU, UE50U8000FUXXN, UE50U8000FUXZT</t>
        </is>
      </c>
      <c r="E753" s="3" t="n">
        <v>50</v>
      </c>
      <c r="F753" s="3" t="n">
        <v>2025</v>
      </c>
      <c r="G753" s="4" t="n">
        <v>64.40000000000001</v>
      </c>
      <c r="H753" s="3" t="n">
        <v>200</v>
      </c>
      <c r="I753" s="3" t="n">
        <v>200</v>
      </c>
      <c r="J753" s="4" t="n">
        <v>22.5</v>
      </c>
      <c r="K753" s="4">
        <f>IF(ISNUMBER(J753),J753+I753/10,"")</f>
        <v/>
      </c>
      <c r="L753" s="2" t="inlineStr">
        <is>
          <t>billedmålt</t>
        </is>
      </c>
      <c r="M753" s="2" t="inlineStr">
        <is>
          <t>Which?</t>
        </is>
      </c>
      <c r="N753" s="2" t="inlineStr">
        <is>
          <t>Billedmålt på Which?-foto (samsung-ue50u8000fkxxu): nederste VESA-hul 22,5 cm fra underkant, målt ud fra VESA 200×200 som skala. Usikkerhed ca. ±1 cm.</t>
        </is>
      </c>
    </row>
    <row r="754">
      <c r="A754" s="2" t="inlineStr">
        <is>
          <t>Samsung</t>
        </is>
      </c>
      <c r="B754" s="2" t="inlineStr">
        <is>
          <t>U8000F</t>
        </is>
      </c>
      <c r="C754" s="2" t="inlineStr">
        <is>
          <t>2025 U8000F 43 inch 4K Crystal UHD Smart TV</t>
        </is>
      </c>
      <c r="D754" s="2" t="inlineStr">
        <is>
          <t>UE43U8000FKXXU, UE43U8000FUXXN, UE43U8000FUXZT</t>
        </is>
      </c>
      <c r="E754" s="3" t="n">
        <v>43</v>
      </c>
      <c r="F754" s="3" t="n">
        <v>2025</v>
      </c>
      <c r="G754" s="4" t="n">
        <v>55.9</v>
      </c>
      <c r="H754" s="3" t="n">
        <v>200</v>
      </c>
      <c r="I754" s="3" t="n">
        <v>200</v>
      </c>
      <c r="J754" s="4" t="n">
        <v>20.3</v>
      </c>
      <c r="K754" s="4">
        <f>IF(ISNUMBER(J754),J754+I754/10,"")</f>
        <v/>
      </c>
      <c r="L754" s="2" t="inlineStr">
        <is>
          <t>billedmålt</t>
        </is>
      </c>
      <c r="M754" s="2" t="inlineStr">
        <is>
          <t>Which?</t>
        </is>
      </c>
      <c r="N754" s="2" t="inlineStr">
        <is>
          <t>Billedmålt på Which?-foto (samsung-ue43u8000fkxxu): nederste VESA-hul 20,3 cm fra underkant, målt ud fra VESA 200×200 som skala. Usikkerhed ca. ±1 cm.</t>
        </is>
      </c>
    </row>
    <row r="755">
      <c r="A755" s="2" t="inlineStr">
        <is>
          <t>Samsung</t>
        </is>
      </c>
      <c r="B755" s="2" t="inlineStr">
        <is>
          <t>U8000H</t>
        </is>
      </c>
      <c r="C755" s="2" t="inlineStr">
        <is>
          <t>2026 U8020H 85 inch Crystal UHD 4K Samsung Vision AI TV</t>
        </is>
      </c>
      <c r="D755" s="2" t="inlineStr">
        <is>
          <t>UE85U8000HKXXU, UE85U8020HKXXU, UE85U8000HUXXN, UE85U8020HUXXN, UE85U8000HUXZT</t>
        </is>
      </c>
      <c r="E755" s="3" t="n">
        <v>85</v>
      </c>
      <c r="F755" s="3" t="n">
        <v>2026</v>
      </c>
      <c r="G755" s="4" t="n">
        <v>108.3</v>
      </c>
      <c r="H755" s="3" t="n">
        <v>400</v>
      </c>
      <c r="I755" s="3" t="n">
        <v>300</v>
      </c>
      <c r="J755" s="4" t="n">
        <v>19.8</v>
      </c>
      <c r="K755" s="4">
        <f>IF(ISNUMBER(J755),J755+I755/10,"")</f>
        <v/>
      </c>
      <c r="L755" s="2" t="inlineStr">
        <is>
          <t>3D-model</t>
        </is>
      </c>
      <c r="M755" s="2" t="inlineStr">
        <is>
          <t>Samsung</t>
        </is>
      </c>
      <c r="N755" s="2" t="inlineStr">
        <is>
          <t>Målt på Samsungs 3D-model af tv'et fra samsung.com: nederste VESA-hul 19,8 cm fra underkant. Metoden ramte 11 kendte mål med højst 1,2 cm afvigelse. Usikkerhed ca. ±1,5 cm.</t>
        </is>
      </c>
    </row>
    <row r="756">
      <c r="A756" s="2" t="inlineStr">
        <is>
          <t>Samsung</t>
        </is>
      </c>
      <c r="B756" s="2" t="inlineStr">
        <is>
          <t>U8000H</t>
        </is>
      </c>
      <c r="C756" s="2" t="inlineStr">
        <is>
          <t>2026 U8020H 75 inch Crystal UHD 4K Samsung Vision AI TV</t>
        </is>
      </c>
      <c r="D756" s="2" t="inlineStr">
        <is>
          <t>UE75U8000HKXXU, UE75U8020HKXXU, UE75U8000HUXXN, UE75U8000HUXZT</t>
        </is>
      </c>
      <c r="E756" s="3" t="n">
        <v>75</v>
      </c>
      <c r="F756" s="3" t="n">
        <v>2026</v>
      </c>
      <c r="G756" s="4" t="n">
        <v>95.8</v>
      </c>
      <c r="H756" s="3" t="n">
        <v>400</v>
      </c>
      <c r="I756" s="3" t="n">
        <v>300</v>
      </c>
      <c r="J756" s="4" t="n">
        <v>20</v>
      </c>
      <c r="K756" s="4">
        <f>IF(ISNUMBER(J756),J756+I756/10,"")</f>
        <v/>
      </c>
      <c r="L756" s="2" t="inlineStr">
        <is>
          <t>billedmålt</t>
        </is>
      </c>
      <c r="M756" s="2" t="inlineStr">
        <is>
          <t>Which?</t>
        </is>
      </c>
      <c r="N756" s="2" t="inlineStr">
        <is>
          <t>Billedmålt på Which?-foto (foto af UE75U8000H): nederste VESA-hul 20 cm fra underkant, målt ud fra VESA 400×300 som skala. Usikkerhed ca. ±1 cm. 3D-kontrol (Samsungs 3D-model): 19,9 cm.</t>
        </is>
      </c>
    </row>
    <row r="757">
      <c r="A757" s="2" t="inlineStr">
        <is>
          <t>Samsung</t>
        </is>
      </c>
      <c r="B757" s="2" t="inlineStr">
        <is>
          <t>U8000H</t>
        </is>
      </c>
      <c r="C757" s="2" t="inlineStr">
        <is>
          <t>2026 U8000H 70 inch Crystal UHD 4K Samsung Vision AI TV</t>
        </is>
      </c>
      <c r="D757" s="2" t="inlineStr">
        <is>
          <t>UE70U8000HKXXU</t>
        </is>
      </c>
      <c r="E757" s="3" t="n">
        <v>70</v>
      </c>
      <c r="F757" s="3" t="n">
        <v>2026</v>
      </c>
      <c r="G757" s="4" t="n">
        <v>87.5</v>
      </c>
      <c r="H757" s="3" t="n">
        <v>400</v>
      </c>
      <c r="I757" s="3" t="n">
        <v>300</v>
      </c>
      <c r="J757" s="4" t="n">
        <v>19.8</v>
      </c>
      <c r="K757" s="4">
        <f>IF(ISNUMBER(J757),J757+I757/10,"")</f>
        <v/>
      </c>
      <c r="L757" s="2" t="inlineStr">
        <is>
          <t>3D-model</t>
        </is>
      </c>
      <c r="M757" s="2" t="inlineStr">
        <is>
          <t>Samsung</t>
        </is>
      </c>
      <c r="N757" s="2" t="inlineStr">
        <is>
          <t>Målt på Samsungs 3D-model af tv'et fra samsung.com (modellen for UN70U8000HFXZA): nederste VESA-hul 19,8 cm fra underkant. Metoden ramte 11 kendte mål med højst 1,2 cm afvigelse. Usikkerhed ca. ±1,5 cm.</t>
        </is>
      </c>
    </row>
    <row r="758">
      <c r="A758" s="2" t="inlineStr">
        <is>
          <t>Samsung</t>
        </is>
      </c>
      <c r="B758" s="2" t="inlineStr">
        <is>
          <t>U8000H</t>
        </is>
      </c>
      <c r="C758" s="2" t="inlineStr">
        <is>
          <t>2026 U8020H 65 inch Crystal UHD 4K Samsung Vision AI TV</t>
        </is>
      </c>
      <c r="D758" s="2" t="inlineStr">
        <is>
          <t>UE65U8000HKXXU, UE65U8020HKXXU, UE65U8000HUXXN, UE65U8020HUXXN, UE65U8000HUXZT</t>
        </is>
      </c>
      <c r="E758" s="3" t="n">
        <v>65</v>
      </c>
      <c r="F758" s="3" t="n">
        <v>2026</v>
      </c>
      <c r="G758" s="4" t="n">
        <v>83.09999999999999</v>
      </c>
      <c r="H758" s="3" t="n">
        <v>200</v>
      </c>
      <c r="I758" s="3" t="n">
        <v>200</v>
      </c>
      <c r="J758" s="4" t="n">
        <v>22.3</v>
      </c>
      <c r="K758" s="4">
        <f>IF(ISNUMBER(J758),J758+I758/10,"")</f>
        <v/>
      </c>
      <c r="L758" s="2" t="inlineStr">
        <is>
          <t>billedmålt</t>
        </is>
      </c>
      <c r="M758" s="2" t="inlineStr">
        <is>
          <t>Which?</t>
        </is>
      </c>
      <c r="N758" s="2" t="inlineStr">
        <is>
          <t>Billedmålt på Which?-foto (samsung-ue65u8000hkxxu): nederste VESA-hul 22,3 cm fra underkant, målt ud fra VESA 200×200 som skala. Usikkerhed ca. ±1 cm.</t>
        </is>
      </c>
    </row>
    <row r="759">
      <c r="A759" s="2" t="inlineStr">
        <is>
          <t>Samsung</t>
        </is>
      </c>
      <c r="B759" s="2" t="inlineStr">
        <is>
          <t>U8000H</t>
        </is>
      </c>
      <c r="C759" s="2" t="inlineStr">
        <is>
          <t>2026 U8020H 58 inch Crystal UHD 4K Samsung Vision AI TV</t>
        </is>
      </c>
      <c r="D759" s="2" t="inlineStr">
        <is>
          <t>UE58U8000HKXXU, UE58U8020HKXXU</t>
        </is>
      </c>
      <c r="E759" s="3" t="n">
        <v>58</v>
      </c>
      <c r="F759" s="3" t="n">
        <v>2026</v>
      </c>
      <c r="G759" s="4" t="n">
        <v>74.90000000000001</v>
      </c>
      <c r="H759" s="3" t="n">
        <v>200</v>
      </c>
      <c r="I759" s="3" t="n">
        <v>200</v>
      </c>
      <c r="J759" s="4" t="n"/>
      <c r="K759" s="4">
        <f>IF(ISNUMBER(J759),J759+I759/10,"")</f>
        <v/>
      </c>
      <c r="L759" s="2" t="inlineStr">
        <is>
          <t>estimat</t>
        </is>
      </c>
      <c r="M759" s="2" t="inlineStr"/>
      <c r="N759" s="2" t="inlineStr"/>
    </row>
    <row r="760">
      <c r="A760" s="2" t="inlineStr">
        <is>
          <t>Samsung</t>
        </is>
      </c>
      <c r="B760" s="2" t="inlineStr">
        <is>
          <t>U8000H</t>
        </is>
      </c>
      <c r="C760" s="2" t="inlineStr">
        <is>
          <t>2026 U8020H 55 inch Crystal UHD 4K Samsung Vision AI TV</t>
        </is>
      </c>
      <c r="D760" s="2" t="inlineStr">
        <is>
          <t>UE55U8000HKXXU, UE55U8020HKXXU, UE55U8000HUXXN, UE55U8020HUXXN, UE55U8000HUXZT</t>
        </is>
      </c>
      <c r="E760" s="3" t="n">
        <v>55</v>
      </c>
      <c r="F760" s="3" t="n">
        <v>2026</v>
      </c>
      <c r="G760" s="4" t="n">
        <v>70.8</v>
      </c>
      <c r="H760" s="3" t="n">
        <v>200</v>
      </c>
      <c r="I760" s="3" t="n">
        <v>200</v>
      </c>
      <c r="J760" s="4" t="n">
        <v>22.5</v>
      </c>
      <c r="K760" s="4">
        <f>IF(ISNUMBER(J760),J760+I760/10,"")</f>
        <v/>
      </c>
      <c r="L760" s="2" t="inlineStr">
        <is>
          <t>billedmålt</t>
        </is>
      </c>
      <c r="M760" s="2" t="inlineStr">
        <is>
          <t>Which?</t>
        </is>
      </c>
      <c r="N760" s="2" t="inlineStr">
        <is>
          <t>Billedmålt på Which?-foto (foto af UE55U8000H): nederste VESA-hul 22,5 cm fra underkant, målt ud fra VESA 200×200 som skala. Usikkerhed ca. ±1 cm.</t>
        </is>
      </c>
    </row>
    <row r="761">
      <c r="A761" s="2" t="inlineStr">
        <is>
          <t>Samsung</t>
        </is>
      </c>
      <c r="B761" s="2" t="inlineStr">
        <is>
          <t>U8000H</t>
        </is>
      </c>
      <c r="C761" s="2" t="inlineStr">
        <is>
          <t>2026 U8020H 50 inch Crystal UHD 4K Samsung Vision AI TV</t>
        </is>
      </c>
      <c r="D761" s="2" t="inlineStr">
        <is>
          <t>UE50U8000HKXXU, UE50U8020HKXXU, UE50U8000HUXXN, UE50U8020HUXXN, UE50U8000HUXZT</t>
        </is>
      </c>
      <c r="E761" s="3" t="n">
        <v>50</v>
      </c>
      <c r="F761" s="3" t="n">
        <v>2026</v>
      </c>
      <c r="G761" s="4" t="n">
        <v>64.40000000000001</v>
      </c>
      <c r="H761" s="3" t="n">
        <v>200</v>
      </c>
      <c r="I761" s="3" t="n">
        <v>200</v>
      </c>
      <c r="J761" s="4" t="n">
        <v>22.5</v>
      </c>
      <c r="K761" s="4">
        <f>IF(ISNUMBER(J761),J761+I761/10,"")</f>
        <v/>
      </c>
      <c r="L761" s="2" t="inlineStr">
        <is>
          <t>billedmålt</t>
        </is>
      </c>
      <c r="M761" s="2" t="inlineStr">
        <is>
          <t>Which?</t>
        </is>
      </c>
      <c r="N761" s="2" t="inlineStr">
        <is>
          <t>Billedmålt på Which?-foto (samsung-ue50u8000hkxxu): nederste VESA-hul 22,5 cm fra underkant, målt ud fra VESA 200×200 som skala. Usikkerhed ca. ±1 cm.</t>
        </is>
      </c>
    </row>
    <row r="762">
      <c r="A762" s="2" t="inlineStr">
        <is>
          <t>Samsung</t>
        </is>
      </c>
      <c r="B762" s="2" t="inlineStr">
        <is>
          <t>U8000H</t>
        </is>
      </c>
      <c r="C762" s="2" t="inlineStr">
        <is>
          <t>2026 U8020H 43 inch Crystal UHD 4K Samsung Vision AI TV</t>
        </is>
      </c>
      <c r="D762" s="2" t="inlineStr">
        <is>
          <t>UE43U8000HKXXU, UE43U8020HKXXU, UE43U8000HUXXN, UE43U8000HUXZT</t>
        </is>
      </c>
      <c r="E762" s="3" t="n">
        <v>43</v>
      </c>
      <c r="F762" s="3" t="n">
        <v>2026</v>
      </c>
      <c r="G762" s="4" t="n">
        <v>55.9</v>
      </c>
      <c r="H762" s="3" t="n">
        <v>200</v>
      </c>
      <c r="I762" s="3" t="n">
        <v>200</v>
      </c>
      <c r="J762" s="4" t="n">
        <v>20.4</v>
      </c>
      <c r="K762" s="4">
        <f>IF(ISNUMBER(J762),J762+I762/10,"")</f>
        <v/>
      </c>
      <c r="L762" s="2" t="inlineStr">
        <is>
          <t>billedmålt</t>
        </is>
      </c>
      <c r="M762" s="2" t="inlineStr">
        <is>
          <t>Which?</t>
        </is>
      </c>
      <c r="N762" s="2" t="inlineStr">
        <is>
          <t>Billedmålt på Which?-foto (samsung-ue43u8000hkxxu): nederste VESA-hul 20,4 cm fra underkant, målt ud fra VESA 200×200 som skala. Usikkerhed ca. ±1 cm.</t>
        </is>
      </c>
    </row>
    <row r="763">
      <c r="A763" s="2" t="inlineStr">
        <is>
          <t>Samsung</t>
        </is>
      </c>
      <c r="B763" s="2" t="inlineStr">
        <is>
          <t>U8005H</t>
        </is>
      </c>
      <c r="C763" s="2" t="inlineStr">
        <is>
          <t>58" Crystal UHD U8005H 4K Samsung Vision AI Smart TV (2026)</t>
        </is>
      </c>
      <c r="D763" s="2" t="inlineStr">
        <is>
          <t>TU58U8005HUXNA, TU58U8005HUXXC</t>
        </is>
      </c>
      <c r="E763" s="3" t="n">
        <v>58</v>
      </c>
      <c r="F763" s="3" t="n">
        <v>2026</v>
      </c>
      <c r="G763" s="4" t="n">
        <v>74.90000000000001</v>
      </c>
      <c r="H763" s="3" t="n">
        <v>200</v>
      </c>
      <c r="I763" s="3" t="n">
        <v>200</v>
      </c>
      <c r="J763" s="4" t="n"/>
      <c r="K763" s="4">
        <f>IF(ISNUMBER(J763),J763+I763/10,"")</f>
        <v/>
      </c>
      <c r="L763" s="2" t="inlineStr">
        <is>
          <t>estimat</t>
        </is>
      </c>
      <c r="M763" s="2" t="inlineStr"/>
      <c r="N763" s="2" t="inlineStr"/>
    </row>
    <row r="764">
      <c r="A764" s="2" t="inlineStr">
        <is>
          <t>Samsung</t>
        </is>
      </c>
      <c r="B764" s="2" t="inlineStr">
        <is>
          <t>U8005H</t>
        </is>
      </c>
      <c r="C764" s="2" t="inlineStr">
        <is>
          <t>55" Crystal UHD U8005H 4K Samsung Vision AI Smart TV (2026)</t>
        </is>
      </c>
      <c r="D764" s="2" t="inlineStr">
        <is>
          <t>TU55U8005HUXNA, TU55U8005HUXXC</t>
        </is>
      </c>
      <c r="E764" s="3" t="n">
        <v>55</v>
      </c>
      <c r="F764" s="3" t="n">
        <v>2026</v>
      </c>
      <c r="G764" s="4" t="n">
        <v>70.8</v>
      </c>
      <c r="H764" s="3" t="n">
        <v>200</v>
      </c>
      <c r="I764" s="3" t="n">
        <v>200</v>
      </c>
      <c r="J764" s="4" t="n"/>
      <c r="K764" s="4">
        <f>IF(ISNUMBER(J764),J764+I764/10,"")</f>
        <v/>
      </c>
      <c r="L764" s="2" t="inlineStr">
        <is>
          <t>estimat</t>
        </is>
      </c>
      <c r="M764" s="2" t="inlineStr"/>
      <c r="N764" s="2" t="inlineStr"/>
    </row>
    <row r="765">
      <c r="A765" s="2" t="inlineStr">
        <is>
          <t>Samsung</t>
        </is>
      </c>
      <c r="B765" s="2" t="inlineStr">
        <is>
          <t>U8005H</t>
        </is>
      </c>
      <c r="C765" s="2" t="inlineStr">
        <is>
          <t>50" Crystal UHD U8005H 4K Samsung Vision AI Smart TV (2026)</t>
        </is>
      </c>
      <c r="D765" s="2" t="inlineStr">
        <is>
          <t>TU50U8005HUXNA, TU50U8005HUXXC</t>
        </is>
      </c>
      <c r="E765" s="3" t="n">
        <v>50</v>
      </c>
      <c r="F765" s="3" t="n">
        <v>2026</v>
      </c>
      <c r="G765" s="4" t="n">
        <v>64.40000000000001</v>
      </c>
      <c r="H765" s="3" t="n">
        <v>200</v>
      </c>
      <c r="I765" s="3" t="n">
        <v>200</v>
      </c>
      <c r="J765" s="4" t="n"/>
      <c r="K765" s="4">
        <f>IF(ISNUMBER(J765),J765+I765/10,"")</f>
        <v/>
      </c>
      <c r="L765" s="2" t="inlineStr">
        <is>
          <t>estimat</t>
        </is>
      </c>
      <c r="M765" s="2" t="inlineStr"/>
      <c r="N765" s="2" t="inlineStr"/>
    </row>
    <row r="766">
      <c r="A766" s="2" t="inlineStr">
        <is>
          <t>Samsung</t>
        </is>
      </c>
      <c r="B766" s="2" t="inlineStr">
        <is>
          <t>U8005H</t>
        </is>
      </c>
      <c r="C766" s="2" t="inlineStr">
        <is>
          <t>43" Crystal UHD U8005H 4K Samsung Vision AI Smart TV (2026)</t>
        </is>
      </c>
      <c r="D766" s="2" t="inlineStr">
        <is>
          <t>TU43U8005HUXNA, TU43U8005HUXXC</t>
        </is>
      </c>
      <c r="E766" s="3" t="n">
        <v>43</v>
      </c>
      <c r="F766" s="3" t="n">
        <v>2026</v>
      </c>
      <c r="G766" s="4" t="n">
        <v>55.9</v>
      </c>
      <c r="H766" s="3" t="n">
        <v>200</v>
      </c>
      <c r="I766" s="3" t="n">
        <v>200</v>
      </c>
      <c r="J766" s="4" t="n"/>
      <c r="K766" s="4">
        <f>IF(ISNUMBER(J766),J766+I766/10,"")</f>
        <v/>
      </c>
      <c r="L766" s="2" t="inlineStr">
        <is>
          <t>estimat</t>
        </is>
      </c>
      <c r="M766" s="2" t="inlineStr"/>
      <c r="N766" s="2" t="inlineStr"/>
    </row>
    <row r="767">
      <c r="A767" s="2" t="inlineStr">
        <is>
          <t>Samsung</t>
        </is>
      </c>
      <c r="B767" s="2" t="inlineStr">
        <is>
          <t>U8020F</t>
        </is>
      </c>
      <c r="C767" s="2" t="inlineStr">
        <is>
          <t>2025 U8020F 85 inch 4K Crystal UHD Smart TV</t>
        </is>
      </c>
      <c r="D767" s="2" t="inlineStr">
        <is>
          <t>UE85U8020FKXXU, UE85U8020FUXXN</t>
        </is>
      </c>
      <c r="E767" s="3" t="n">
        <v>85</v>
      </c>
      <c r="F767" s="3" t="n">
        <v>2025</v>
      </c>
      <c r="G767" s="4" t="n">
        <v>108.3</v>
      </c>
      <c r="H767" s="3" t="n">
        <v>400</v>
      </c>
      <c r="I767" s="3" t="n">
        <v>300</v>
      </c>
      <c r="J767" s="4" t="n"/>
      <c r="K767" s="4">
        <f>IF(ISNUMBER(J767),J767+I767/10,"")</f>
        <v/>
      </c>
      <c r="L767" s="2" t="inlineStr">
        <is>
          <t>estimat</t>
        </is>
      </c>
      <c r="M767" s="2" t="inlineStr"/>
      <c r="N767" s="2" t="inlineStr"/>
    </row>
    <row r="768">
      <c r="A768" s="2" t="inlineStr">
        <is>
          <t>Samsung</t>
        </is>
      </c>
      <c r="B768" s="2" t="inlineStr">
        <is>
          <t>U8020F</t>
        </is>
      </c>
      <c r="C768" s="2" t="inlineStr">
        <is>
          <t>2025 U8020F 75 inch 4K Crystal UHD Smart TV</t>
        </is>
      </c>
      <c r="D768" s="2" t="inlineStr">
        <is>
          <t>UE75U8020FKXXU, UE75U8020FUXXN</t>
        </is>
      </c>
      <c r="E768" s="3" t="n">
        <v>75</v>
      </c>
      <c r="F768" s="3" t="n">
        <v>2025</v>
      </c>
      <c r="G768" s="4" t="n">
        <v>95.8</v>
      </c>
      <c r="H768" s="3" t="n">
        <v>400</v>
      </c>
      <c r="I768" s="3" t="n">
        <v>300</v>
      </c>
      <c r="J768" s="4" t="n">
        <v>20.3</v>
      </c>
      <c r="K768" s="4">
        <f>IF(ISNUMBER(J768),J768+I768/10,"")</f>
        <v/>
      </c>
      <c r="L768" s="2" t="inlineStr">
        <is>
          <t>billedmålt</t>
        </is>
      </c>
      <c r="M768" s="2" t="inlineStr">
        <is>
          <t>Which?</t>
        </is>
      </c>
      <c r="N768" s="2" t="inlineStr">
        <is>
          <t>Billedmålt på Which?-foto (samsung-ue75u8020fkxxu): nederste VESA-hul 20,3 cm fra underkant, målt ud fra VESA 400×300 som skala. Usikkerhed ca. ±1 cm.</t>
        </is>
      </c>
    </row>
    <row r="769">
      <c r="A769" s="2" t="inlineStr">
        <is>
          <t>Samsung</t>
        </is>
      </c>
      <c r="B769" s="2" t="inlineStr">
        <is>
          <t>U8020F</t>
        </is>
      </c>
      <c r="C769" s="2" t="inlineStr">
        <is>
          <t>2025 U8020F 65 inch 4K Crystal UHD Smart TV</t>
        </is>
      </c>
      <c r="D769" s="2" t="inlineStr">
        <is>
          <t>UE65U8020FKXXU, UE65U8020FUXXN</t>
        </is>
      </c>
      <c r="E769" s="3" t="n">
        <v>65</v>
      </c>
      <c r="F769" s="3" t="n">
        <v>2025</v>
      </c>
      <c r="G769" s="4" t="n">
        <v>83.09999999999999</v>
      </c>
      <c r="H769" s="3" t="n">
        <v>200</v>
      </c>
      <c r="I769" s="3" t="n">
        <v>200</v>
      </c>
      <c r="J769" s="4" t="n">
        <v>22.5</v>
      </c>
      <c r="K769" s="4">
        <f>IF(ISNUMBER(J769),J769+I769/10,"")</f>
        <v/>
      </c>
      <c r="L769" s="2" t="inlineStr">
        <is>
          <t>billedmålt</t>
        </is>
      </c>
      <c r="M769" s="2" t="inlineStr">
        <is>
          <t>Which?</t>
        </is>
      </c>
      <c r="N769" s="2" t="inlineStr">
        <is>
          <t>Billedmålt på Which?-foto (samsung-ue65u8020fkxxu): nederste VESA-hul 22,5 cm fra underkant, målt ud fra VESA 200×200 som skala. Usikkerhed ca. ±1 cm.</t>
        </is>
      </c>
    </row>
    <row r="770">
      <c r="A770" s="2" t="inlineStr">
        <is>
          <t>Samsung</t>
        </is>
      </c>
      <c r="B770" s="2" t="inlineStr">
        <is>
          <t>U8020F</t>
        </is>
      </c>
      <c r="C770" s="2" t="inlineStr">
        <is>
          <t>2025 U8020F 55 inch 4K Crystal UHD Smart TV</t>
        </is>
      </c>
      <c r="D770" s="2" t="inlineStr">
        <is>
          <t>UE55U8020FKXXU, UE55U8020FUXXN</t>
        </is>
      </c>
      <c r="E770" s="3" t="n">
        <v>55</v>
      </c>
      <c r="F770" s="3" t="n">
        <v>2025</v>
      </c>
      <c r="G770" s="4" t="n">
        <v>70.8</v>
      </c>
      <c r="H770" s="3" t="n">
        <v>200</v>
      </c>
      <c r="I770" s="3" t="n">
        <v>200</v>
      </c>
      <c r="J770" s="4" t="n">
        <v>22.6</v>
      </c>
      <c r="K770" s="4">
        <f>IF(ISNUMBER(J770),J770+I770/10,"")</f>
        <v/>
      </c>
      <c r="L770" s="2" t="inlineStr">
        <is>
          <t>billedmålt</t>
        </is>
      </c>
      <c r="M770" s="2" t="inlineStr">
        <is>
          <t>Which?</t>
        </is>
      </c>
      <c r="N770" s="2" t="inlineStr">
        <is>
          <t>Billedmålt på Which?-foto (samsung-ue55u8020fkxxu): nederste VESA-hul 22,6 cm fra underkant, målt ud fra VESA 200×200 som skala. Usikkerhed ca. ±1 cm.</t>
        </is>
      </c>
    </row>
    <row r="771">
      <c r="A771" s="2" t="inlineStr">
        <is>
          <t>Samsung</t>
        </is>
      </c>
      <c r="B771" s="2" t="inlineStr">
        <is>
          <t>U8020F</t>
        </is>
      </c>
      <c r="C771" s="2" t="inlineStr">
        <is>
          <t>2025 U8020F 50 inch 4K Crystal UHD Smart TV</t>
        </is>
      </c>
      <c r="D771" s="2" t="inlineStr">
        <is>
          <t>UE50U8020FKXXU, UE50U8020FUXXN</t>
        </is>
      </c>
      <c r="E771" s="3" t="n">
        <v>50</v>
      </c>
      <c r="F771" s="3" t="n">
        <v>2025</v>
      </c>
      <c r="G771" s="4" t="n">
        <v>64.40000000000001</v>
      </c>
      <c r="H771" s="3" t="n">
        <v>200</v>
      </c>
      <c r="I771" s="3" t="n">
        <v>200</v>
      </c>
      <c r="J771" s="4" t="n">
        <v>22.4</v>
      </c>
      <c r="K771" s="4">
        <f>IF(ISNUMBER(J771),J771+I771/10,"")</f>
        <v/>
      </c>
      <c r="L771" s="2" t="inlineStr">
        <is>
          <t>billedmålt</t>
        </is>
      </c>
      <c r="M771" s="2" t="inlineStr">
        <is>
          <t>Which?</t>
        </is>
      </c>
      <c r="N771" s="2" t="inlineStr">
        <is>
          <t>Billedmålt på Which?-foto (samsung-ue50u8020fkxxu): nederste VESA-hul 22,4 cm fra underkant, målt ud fra VESA 200×200 som skala. Usikkerhed ca. ±1 cm.</t>
        </is>
      </c>
    </row>
    <row r="772">
      <c r="A772" s="2" t="inlineStr">
        <is>
          <t>Samsung</t>
        </is>
      </c>
      <c r="B772" s="2" t="inlineStr">
        <is>
          <t>U8020F</t>
        </is>
      </c>
      <c r="C772" s="2" t="inlineStr">
        <is>
          <t>2025 U8020F 43 inch 4K Crystal UHD Smart TV</t>
        </is>
      </c>
      <c r="D772" s="2" t="inlineStr">
        <is>
          <t>UE43U8020FKXXU, UE43U8020FUXXN</t>
        </is>
      </c>
      <c r="E772" s="3" t="n">
        <v>43</v>
      </c>
      <c r="F772" s="3" t="n">
        <v>2025</v>
      </c>
      <c r="G772" s="4" t="n">
        <v>55.9</v>
      </c>
      <c r="H772" s="3" t="n">
        <v>200</v>
      </c>
      <c r="I772" s="3" t="n">
        <v>200</v>
      </c>
      <c r="J772" s="4" t="n">
        <v>20.3</v>
      </c>
      <c r="K772" s="4">
        <f>IF(ISNUMBER(J772),J772+I772/10,"")</f>
        <v/>
      </c>
      <c r="L772" s="2" t="inlineStr">
        <is>
          <t>billedmålt</t>
        </is>
      </c>
      <c r="M772" s="2" t="inlineStr">
        <is>
          <t>Which?</t>
        </is>
      </c>
      <c r="N772" s="2" t="inlineStr">
        <is>
          <t>Billedmålt på Which?-foto (samsung-ue43u8020fkxxu): nederste VESA-hul 20,3 cm fra underkant, målt ud fra VESA 200×200 som skala. Usikkerhed ca. ±1 cm.</t>
        </is>
      </c>
    </row>
    <row r="773">
      <c r="A773" s="2" t="inlineStr">
        <is>
          <t>Samsung</t>
        </is>
      </c>
      <c r="B773" s="2" t="inlineStr">
        <is>
          <t>U8070H</t>
        </is>
      </c>
      <c r="C773" s="2" t="inlineStr">
        <is>
          <t>55" Crystal UHD Smart TV U8070H (2026)</t>
        </is>
      </c>
      <c r="D773" s="2" t="inlineStr">
        <is>
          <t>UE55U8070HUXXN</t>
        </is>
      </c>
      <c r="E773" s="3" t="n">
        <v>55</v>
      </c>
      <c r="F773" s="3" t="n">
        <v>2026</v>
      </c>
      <c r="G773" s="4" t="n">
        <v>70.8</v>
      </c>
      <c r="H773" s="3" t="n">
        <v>200</v>
      </c>
      <c r="I773" s="3" t="n">
        <v>200</v>
      </c>
      <c r="J773" s="4" t="n"/>
      <c r="K773" s="4">
        <f>IF(ISNUMBER(J773),J773+I773/10,"")</f>
        <v/>
      </c>
      <c r="L773" s="2" t="inlineStr">
        <is>
          <t>estimat</t>
        </is>
      </c>
      <c r="M773" s="2" t="inlineStr"/>
      <c r="N773" s="2" t="inlineStr"/>
    </row>
    <row r="774">
      <c r="A774" s="2" t="inlineStr">
        <is>
          <t>Samsung</t>
        </is>
      </c>
      <c r="B774" s="2" t="inlineStr">
        <is>
          <t>U8070H</t>
        </is>
      </c>
      <c r="C774" s="2" t="inlineStr">
        <is>
          <t>50" Crystal UHD Smart TV U8070H (2026)</t>
        </is>
      </c>
      <c r="D774" s="2" t="inlineStr">
        <is>
          <t>UE50U8070HUXXN</t>
        </is>
      </c>
      <c r="E774" s="3" t="n">
        <v>50</v>
      </c>
      <c r="F774" s="3" t="n">
        <v>2026</v>
      </c>
      <c r="G774" s="4" t="n">
        <v>64.40000000000001</v>
      </c>
      <c r="H774" s="3" t="n">
        <v>200</v>
      </c>
      <c r="I774" s="3" t="n">
        <v>200</v>
      </c>
      <c r="J774" s="4" t="n"/>
      <c r="K774" s="4">
        <f>IF(ISNUMBER(J774),J774+I774/10,"")</f>
        <v/>
      </c>
      <c r="L774" s="2" t="inlineStr">
        <is>
          <t>estimat</t>
        </is>
      </c>
      <c r="M774" s="2" t="inlineStr"/>
      <c r="N774" s="2" t="inlineStr"/>
    </row>
    <row r="775">
      <c r="A775" s="2" t="inlineStr">
        <is>
          <t>Samsung</t>
        </is>
      </c>
      <c r="B775" s="2" t="inlineStr">
        <is>
          <t>U8070H</t>
        </is>
      </c>
      <c r="C775" s="2" t="inlineStr">
        <is>
          <t>43" Crystal UHD Smart TV U8070H (2026)</t>
        </is>
      </c>
      <c r="D775" s="2" t="inlineStr">
        <is>
          <t>UE43U8070HUXXN</t>
        </is>
      </c>
      <c r="E775" s="3" t="n">
        <v>43</v>
      </c>
      <c r="F775" s="3" t="n">
        <v>2026</v>
      </c>
      <c r="G775" s="4" t="n">
        <v>55.9</v>
      </c>
      <c r="H775" s="3" t="n">
        <v>200</v>
      </c>
      <c r="I775" s="3" t="n">
        <v>200</v>
      </c>
      <c r="J775" s="4" t="n"/>
      <c r="K775" s="4">
        <f>IF(ISNUMBER(J775),J775+I775/10,"")</f>
        <v/>
      </c>
      <c r="L775" s="2" t="inlineStr">
        <is>
          <t>estimat</t>
        </is>
      </c>
      <c r="M775" s="2" t="inlineStr"/>
      <c r="N775" s="2" t="inlineStr"/>
    </row>
    <row r="776">
      <c r="A776" s="2" t="inlineStr">
        <is>
          <t>Samsung</t>
        </is>
      </c>
      <c r="B776" s="2" t="inlineStr">
        <is>
          <t>U8075H</t>
        </is>
      </c>
      <c r="C776" s="2" t="inlineStr">
        <is>
          <t>58" Crystal UHD U8075H 4K Samsung Vision AI Smart TV (2026)</t>
        </is>
      </c>
      <c r="D776" s="2" t="inlineStr">
        <is>
          <t>TU58U8075HUXNA</t>
        </is>
      </c>
      <c r="E776" s="3" t="n">
        <v>58</v>
      </c>
      <c r="F776" s="3" t="n">
        <v>2026</v>
      </c>
      <c r="G776" s="4" t="n">
        <v>74.90000000000001</v>
      </c>
      <c r="H776" s="3" t="n">
        <v>200</v>
      </c>
      <c r="I776" s="3" t="n">
        <v>200</v>
      </c>
      <c r="J776" s="4" t="n"/>
      <c r="K776" s="4">
        <f>IF(ISNUMBER(J776),J776+I776/10,"")</f>
        <v/>
      </c>
      <c r="L776" s="2" t="inlineStr">
        <is>
          <t>estimat</t>
        </is>
      </c>
      <c r="M776" s="2" t="inlineStr"/>
      <c r="N776" s="2" t="inlineStr"/>
    </row>
    <row r="777">
      <c r="A777" s="2" t="inlineStr">
        <is>
          <t>Samsung</t>
        </is>
      </c>
      <c r="B777" s="2" t="inlineStr">
        <is>
          <t>U8075H</t>
        </is>
      </c>
      <c r="C777" s="2" t="inlineStr">
        <is>
          <t>55" Crystal UHD U8075H 4K Samsung Vision AI Smart TV (2026)</t>
        </is>
      </c>
      <c r="D777" s="2" t="inlineStr">
        <is>
          <t>TU55U8075HUXNA, TU55U8075HUXXC</t>
        </is>
      </c>
      <c r="E777" s="3" t="n">
        <v>55</v>
      </c>
      <c r="F777" s="3" t="n">
        <v>2026</v>
      </c>
      <c r="G777" s="4" t="n">
        <v>70.8</v>
      </c>
      <c r="H777" s="3" t="n">
        <v>200</v>
      </c>
      <c r="I777" s="3" t="n">
        <v>200</v>
      </c>
      <c r="J777" s="4" t="n"/>
      <c r="K777" s="4">
        <f>IF(ISNUMBER(J777),J777+I777/10,"")</f>
        <v/>
      </c>
      <c r="L777" s="2" t="inlineStr">
        <is>
          <t>estimat</t>
        </is>
      </c>
      <c r="M777" s="2" t="inlineStr"/>
      <c r="N777" s="2" t="inlineStr"/>
    </row>
    <row r="778">
      <c r="A778" s="2" t="inlineStr">
        <is>
          <t>Samsung</t>
        </is>
      </c>
      <c r="B778" s="2" t="inlineStr">
        <is>
          <t>U8075H</t>
        </is>
      </c>
      <c r="C778" s="2" t="inlineStr">
        <is>
          <t>50" Crystal UHD U8075H 4K Samsung Vision AI Smart TV (2026)</t>
        </is>
      </c>
      <c r="D778" s="2" t="inlineStr">
        <is>
          <t>TU50U8075HUXNA, TU50U8075HUXXC</t>
        </is>
      </c>
      <c r="E778" s="3" t="n">
        <v>50</v>
      </c>
      <c r="F778" s="3" t="n">
        <v>2026</v>
      </c>
      <c r="G778" s="4" t="n">
        <v>64.40000000000001</v>
      </c>
      <c r="H778" s="3" t="n">
        <v>200</v>
      </c>
      <c r="I778" s="3" t="n">
        <v>200</v>
      </c>
      <c r="J778" s="4" t="n"/>
      <c r="K778" s="4">
        <f>IF(ISNUMBER(J778),J778+I778/10,"")</f>
        <v/>
      </c>
      <c r="L778" s="2" t="inlineStr">
        <is>
          <t>estimat</t>
        </is>
      </c>
      <c r="M778" s="2" t="inlineStr"/>
      <c r="N778" s="2" t="inlineStr"/>
    </row>
    <row r="779">
      <c r="A779" s="2" t="inlineStr">
        <is>
          <t>Samsung</t>
        </is>
      </c>
      <c r="B779" s="2" t="inlineStr">
        <is>
          <t>U8075H</t>
        </is>
      </c>
      <c r="C779" s="2" t="inlineStr">
        <is>
          <t>43" Crystal UHD U8075H 4K Samsung Vision AI Smart TV (2026)</t>
        </is>
      </c>
      <c r="D779" s="2" t="inlineStr">
        <is>
          <t>TU43U8075HUXNA, TU43U8075HUXXC</t>
        </is>
      </c>
      <c r="E779" s="3" t="n">
        <v>43</v>
      </c>
      <c r="F779" s="3" t="n">
        <v>2026</v>
      </c>
      <c r="G779" s="4" t="n">
        <v>55.9</v>
      </c>
      <c r="H779" s="3" t="n">
        <v>200</v>
      </c>
      <c r="I779" s="3" t="n">
        <v>200</v>
      </c>
      <c r="J779" s="4" t="n"/>
      <c r="K779" s="4">
        <f>IF(ISNUMBER(J779),J779+I779/10,"")</f>
        <v/>
      </c>
      <c r="L779" s="2" t="inlineStr">
        <is>
          <t>estimat</t>
        </is>
      </c>
      <c r="M779" s="2" t="inlineStr"/>
      <c r="N779" s="2" t="inlineStr"/>
    </row>
    <row r="780">
      <c r="A780" s="2" t="inlineStr">
        <is>
          <t>Samsung</t>
        </is>
      </c>
      <c r="B780" s="2" t="inlineStr">
        <is>
          <t>U8079H</t>
        </is>
      </c>
      <c r="C780" s="2" t="inlineStr">
        <is>
          <t>58" Crystal UHD U8079H 4K Samsung Vision AI Smart TV (2026)</t>
        </is>
      </c>
      <c r="D780" s="2" t="inlineStr">
        <is>
          <t>GU58U8079HUXZG</t>
        </is>
      </c>
      <c r="E780" s="3" t="n">
        <v>58</v>
      </c>
      <c r="F780" s="3" t="n">
        <v>2026</v>
      </c>
      <c r="G780" s="4" t="n">
        <v>74.90000000000001</v>
      </c>
      <c r="H780" s="3" t="n">
        <v>200</v>
      </c>
      <c r="I780" s="3" t="n">
        <v>200</v>
      </c>
      <c r="J780" s="4" t="n"/>
      <c r="K780" s="4">
        <f>IF(ISNUMBER(J780),J780+I780/10,"")</f>
        <v/>
      </c>
      <c r="L780" s="2" t="inlineStr">
        <is>
          <t>estimat</t>
        </is>
      </c>
      <c r="M780" s="2" t="inlineStr"/>
      <c r="N780" s="2" t="inlineStr"/>
    </row>
    <row r="781">
      <c r="A781" s="2" t="inlineStr">
        <is>
          <t>Samsung</t>
        </is>
      </c>
      <c r="B781" s="2" t="inlineStr">
        <is>
          <t>U8079H</t>
        </is>
      </c>
      <c r="C781" s="2" t="inlineStr">
        <is>
          <t>55" Crystal UHD U8079H 4K Samsung Vision AI Smart TV (2026)</t>
        </is>
      </c>
      <c r="D781" s="2" t="inlineStr">
        <is>
          <t>GU55U8079HUXZG</t>
        </is>
      </c>
      <c r="E781" s="3" t="n">
        <v>55</v>
      </c>
      <c r="F781" s="3" t="n">
        <v>2026</v>
      </c>
      <c r="G781" s="4" t="n">
        <v>70.8</v>
      </c>
      <c r="H781" s="3" t="n">
        <v>200</v>
      </c>
      <c r="I781" s="3" t="n">
        <v>200</v>
      </c>
      <c r="J781" s="4" t="n"/>
      <c r="K781" s="4">
        <f>IF(ISNUMBER(J781),J781+I781/10,"")</f>
        <v/>
      </c>
      <c r="L781" s="2" t="inlineStr">
        <is>
          <t>estimat</t>
        </is>
      </c>
      <c r="M781" s="2" t="inlineStr"/>
      <c r="N781" s="2" t="inlineStr"/>
    </row>
    <row r="782">
      <c r="A782" s="2" t="inlineStr">
        <is>
          <t>Samsung</t>
        </is>
      </c>
      <c r="B782" s="2" t="inlineStr">
        <is>
          <t>U8079H</t>
        </is>
      </c>
      <c r="C782" s="2" t="inlineStr">
        <is>
          <t>50" Crystal UHD U8079H 4K Samsung Vision AI Smart TV (2026)</t>
        </is>
      </c>
      <c r="D782" s="2" t="inlineStr">
        <is>
          <t>GU50U8079HUXZG</t>
        </is>
      </c>
      <c r="E782" s="3" t="n">
        <v>50</v>
      </c>
      <c r="F782" s="3" t="n">
        <v>2026</v>
      </c>
      <c r="G782" s="4" t="n">
        <v>64.40000000000001</v>
      </c>
      <c r="H782" s="3" t="n">
        <v>200</v>
      </c>
      <c r="I782" s="3" t="n">
        <v>200</v>
      </c>
      <c r="J782" s="4" t="n"/>
      <c r="K782" s="4">
        <f>IF(ISNUMBER(J782),J782+I782/10,"")</f>
        <v/>
      </c>
      <c r="L782" s="2" t="inlineStr">
        <is>
          <t>estimat</t>
        </is>
      </c>
      <c r="M782" s="2" t="inlineStr"/>
      <c r="N782" s="2" t="inlineStr"/>
    </row>
    <row r="783">
      <c r="A783" s="2" t="inlineStr">
        <is>
          <t>Samsung</t>
        </is>
      </c>
      <c r="B783" s="2" t="inlineStr">
        <is>
          <t>U8079H</t>
        </is>
      </c>
      <c r="C783" s="2" t="inlineStr">
        <is>
          <t>43" Crystal UHD U8079H 4K Samsung Vision AI Smart TV (2026)</t>
        </is>
      </c>
      <c r="D783" s="2" t="inlineStr">
        <is>
          <t>GU43U8079HUXZG</t>
        </is>
      </c>
      <c r="E783" s="3" t="n">
        <v>43</v>
      </c>
      <c r="F783" s="3" t="n">
        <v>2026</v>
      </c>
      <c r="G783" s="4" t="n">
        <v>55.9</v>
      </c>
      <c r="H783" s="3" t="n">
        <v>200</v>
      </c>
      <c r="I783" s="3" t="n">
        <v>200</v>
      </c>
      <c r="J783" s="4" t="n"/>
      <c r="K783" s="4">
        <f>IF(ISNUMBER(J783),J783+I783/10,"")</f>
        <v/>
      </c>
      <c r="L783" s="2" t="inlineStr">
        <is>
          <t>estimat</t>
        </is>
      </c>
      <c r="M783" s="2" t="inlineStr"/>
      <c r="N783" s="2" t="inlineStr"/>
    </row>
    <row r="784">
      <c r="A784" s="2" t="inlineStr">
        <is>
          <t>Samsung</t>
        </is>
      </c>
      <c r="B784" s="2" t="inlineStr">
        <is>
          <t>U8090H</t>
        </is>
      </c>
      <c r="C784" s="2" t="inlineStr">
        <is>
          <t>55" Crystal UHD U8090H Smart TV (2026)</t>
        </is>
      </c>
      <c r="D784" s="2" t="inlineStr">
        <is>
          <t>UE55U8090HUXXN</t>
        </is>
      </c>
      <c r="E784" s="3" t="n">
        <v>55</v>
      </c>
      <c r="F784" s="3" t="n">
        <v>2026</v>
      </c>
      <c r="G784" s="4" t="n">
        <v>70.8</v>
      </c>
      <c r="H784" s="3" t="n">
        <v>200</v>
      </c>
      <c r="I784" s="3" t="n">
        <v>200</v>
      </c>
      <c r="J784" s="4" t="n"/>
      <c r="K784" s="4">
        <f>IF(ISNUMBER(J784),J784+I784/10,"")</f>
        <v/>
      </c>
      <c r="L784" s="2" t="inlineStr">
        <is>
          <t>estimat</t>
        </is>
      </c>
      <c r="M784" s="2" t="inlineStr"/>
      <c r="N784" s="2" t="inlineStr"/>
    </row>
    <row r="785">
      <c r="A785" s="2" t="inlineStr">
        <is>
          <t>Samsung</t>
        </is>
      </c>
      <c r="B785" s="2" t="inlineStr">
        <is>
          <t>U8090H</t>
        </is>
      </c>
      <c r="C785" s="2" t="inlineStr">
        <is>
          <t>50" Crystal UHD U8090H Smart TV (2026)</t>
        </is>
      </c>
      <c r="D785" s="2" t="inlineStr">
        <is>
          <t>UE50U8090HUXXN</t>
        </is>
      </c>
      <c r="E785" s="3" t="n">
        <v>50</v>
      </c>
      <c r="F785" s="3" t="n">
        <v>2026</v>
      </c>
      <c r="G785" s="4" t="n">
        <v>64.40000000000001</v>
      </c>
      <c r="H785" s="3" t="n">
        <v>200</v>
      </c>
      <c r="I785" s="3" t="n">
        <v>200</v>
      </c>
      <c r="J785" s="4" t="n"/>
      <c r="K785" s="4">
        <f>IF(ISNUMBER(J785),J785+I785/10,"")</f>
        <v/>
      </c>
      <c r="L785" s="2" t="inlineStr">
        <is>
          <t>estimat</t>
        </is>
      </c>
      <c r="M785" s="2" t="inlineStr"/>
      <c r="N785" s="2" t="inlineStr"/>
    </row>
    <row r="786">
      <c r="A786" s="2" t="inlineStr">
        <is>
          <t>Samsung</t>
        </is>
      </c>
      <c r="B786" s="2" t="inlineStr">
        <is>
          <t>U8090H</t>
        </is>
      </c>
      <c r="C786" s="2" t="inlineStr">
        <is>
          <t>43" Crystal UHD U8090H Smart TV (2026)</t>
        </is>
      </c>
      <c r="D786" s="2" t="inlineStr">
        <is>
          <t>UE43U8090HUXXN</t>
        </is>
      </c>
      <c r="E786" s="3" t="n">
        <v>43</v>
      </c>
      <c r="F786" s="3" t="n">
        <v>2026</v>
      </c>
      <c r="G786" s="4" t="n">
        <v>55.9</v>
      </c>
      <c r="H786" s="3" t="n">
        <v>200</v>
      </c>
      <c r="I786" s="3" t="n">
        <v>200</v>
      </c>
      <c r="J786" s="4" t="n"/>
      <c r="K786" s="4">
        <f>IF(ISNUMBER(J786),J786+I786/10,"")</f>
        <v/>
      </c>
      <c r="L786" s="2" t="inlineStr">
        <is>
          <t>estimat</t>
        </is>
      </c>
      <c r="M786" s="2" t="inlineStr"/>
      <c r="N786" s="2" t="inlineStr"/>
    </row>
    <row r="787">
      <c r="A787" s="2" t="inlineStr">
        <is>
          <t>Samsung</t>
        </is>
      </c>
      <c r="B787" s="2" t="inlineStr">
        <is>
          <t>U8095H</t>
        </is>
      </c>
      <c r="C787" s="2" t="inlineStr">
        <is>
          <t>58" Crystal UHD U8095H 4K Samsung Vision AI Smart TV (2026)</t>
        </is>
      </c>
      <c r="D787" s="2" t="inlineStr">
        <is>
          <t>TU58U8095HUXNA</t>
        </is>
      </c>
      <c r="E787" s="3" t="n">
        <v>58</v>
      </c>
      <c r="F787" s="3" t="n">
        <v>2026</v>
      </c>
      <c r="G787" s="4" t="n">
        <v>74.90000000000001</v>
      </c>
      <c r="H787" s="3" t="n">
        <v>200</v>
      </c>
      <c r="I787" s="3" t="n">
        <v>200</v>
      </c>
      <c r="J787" s="4" t="n"/>
      <c r="K787" s="4">
        <f>IF(ISNUMBER(J787),J787+I787/10,"")</f>
        <v/>
      </c>
      <c r="L787" s="2" t="inlineStr">
        <is>
          <t>estimat</t>
        </is>
      </c>
      <c r="M787" s="2" t="inlineStr"/>
      <c r="N787" s="2" t="inlineStr"/>
    </row>
    <row r="788">
      <c r="A788" s="2" t="inlineStr">
        <is>
          <t>Samsung</t>
        </is>
      </c>
      <c r="B788" s="2" t="inlineStr">
        <is>
          <t>U8095H</t>
        </is>
      </c>
      <c r="C788" s="2" t="inlineStr">
        <is>
          <t>55" Crystal UHD U8095H 4K Samsung Vision AI Smart TV (2026)</t>
        </is>
      </c>
      <c r="D788" s="2" t="inlineStr">
        <is>
          <t>TU55U8095HUXNA</t>
        </is>
      </c>
      <c r="E788" s="3" t="n">
        <v>55</v>
      </c>
      <c r="F788" s="3" t="n">
        <v>2026</v>
      </c>
      <c r="G788" s="4" t="n">
        <v>70.8</v>
      </c>
      <c r="H788" s="3" t="n">
        <v>200</v>
      </c>
      <c r="I788" s="3" t="n">
        <v>200</v>
      </c>
      <c r="J788" s="4" t="n"/>
      <c r="K788" s="4">
        <f>IF(ISNUMBER(J788),J788+I788/10,"")</f>
        <v/>
      </c>
      <c r="L788" s="2" t="inlineStr">
        <is>
          <t>estimat</t>
        </is>
      </c>
      <c r="M788" s="2" t="inlineStr"/>
      <c r="N788" s="2" t="inlineStr"/>
    </row>
    <row r="789">
      <c r="A789" s="2" t="inlineStr">
        <is>
          <t>Samsung</t>
        </is>
      </c>
      <c r="B789" s="2" t="inlineStr">
        <is>
          <t>U8095H</t>
        </is>
      </c>
      <c r="C789" s="2" t="inlineStr">
        <is>
          <t>50" Crystal UHD U8095H 4K Samsung Vision AI Smart TV (2026)</t>
        </is>
      </c>
      <c r="D789" s="2" t="inlineStr">
        <is>
          <t>TU50U8095HUXNA</t>
        </is>
      </c>
      <c r="E789" s="3" t="n">
        <v>50</v>
      </c>
      <c r="F789" s="3" t="n">
        <v>2026</v>
      </c>
      <c r="G789" s="4" t="n">
        <v>64.40000000000001</v>
      </c>
      <c r="H789" s="3" t="n">
        <v>200</v>
      </c>
      <c r="I789" s="3" t="n">
        <v>200</v>
      </c>
      <c r="J789" s="4" t="n"/>
      <c r="K789" s="4">
        <f>IF(ISNUMBER(J789),J789+I789/10,"")</f>
        <v/>
      </c>
      <c r="L789" s="2" t="inlineStr">
        <is>
          <t>estimat</t>
        </is>
      </c>
      <c r="M789" s="2" t="inlineStr"/>
      <c r="N789" s="2" t="inlineStr"/>
    </row>
    <row r="790">
      <c r="A790" s="2" t="inlineStr">
        <is>
          <t>Samsung</t>
        </is>
      </c>
      <c r="B790" s="2" t="inlineStr">
        <is>
          <t>U8095H</t>
        </is>
      </c>
      <c r="C790" s="2" t="inlineStr">
        <is>
          <t>43" Crystal UHD U8095H 4K Samsung Vision AI Smart TV (2026)</t>
        </is>
      </c>
      <c r="D790" s="2" t="inlineStr">
        <is>
          <t>TU43U8095HUXNA</t>
        </is>
      </c>
      <c r="E790" s="3" t="n">
        <v>43</v>
      </c>
      <c r="F790" s="3" t="n">
        <v>2026</v>
      </c>
      <c r="G790" s="4" t="n">
        <v>55.9</v>
      </c>
      <c r="H790" s="3" t="n">
        <v>200</v>
      </c>
      <c r="I790" s="3" t="n">
        <v>200</v>
      </c>
      <c r="J790" s="4" t="n"/>
      <c r="K790" s="4">
        <f>IF(ISNUMBER(J790),J790+I790/10,"")</f>
        <v/>
      </c>
      <c r="L790" s="2" t="inlineStr">
        <is>
          <t>estimat</t>
        </is>
      </c>
      <c r="M790" s="2" t="inlineStr"/>
      <c r="N790" s="2" t="inlineStr"/>
    </row>
    <row r="791">
      <c r="A791" s="2" t="inlineStr">
        <is>
          <t>Samsung</t>
        </is>
      </c>
      <c r="B791" s="2" t="inlineStr">
        <is>
          <t>U8099H</t>
        </is>
      </c>
      <c r="C791" s="2" t="inlineStr">
        <is>
          <t>55" Crystal UHD U8099H 4K Samsung Vision AI Smart TV (2026)</t>
        </is>
      </c>
      <c r="D791" s="2" t="inlineStr">
        <is>
          <t>GU55U8099HUXZG</t>
        </is>
      </c>
      <c r="E791" s="3" t="n">
        <v>55</v>
      </c>
      <c r="F791" s="3" t="n">
        <v>2026</v>
      </c>
      <c r="G791" s="4" t="n">
        <v>70.8</v>
      </c>
      <c r="H791" s="3" t="n">
        <v>200</v>
      </c>
      <c r="I791" s="3" t="n">
        <v>200</v>
      </c>
      <c r="J791" s="4" t="n"/>
      <c r="K791" s="4">
        <f>IF(ISNUMBER(J791),J791+I791/10,"")</f>
        <v/>
      </c>
      <c r="L791" s="2" t="inlineStr">
        <is>
          <t>estimat</t>
        </is>
      </c>
      <c r="M791" s="2" t="inlineStr"/>
      <c r="N791" s="2" t="inlineStr"/>
    </row>
    <row r="792">
      <c r="A792" s="2" t="inlineStr">
        <is>
          <t>Samsung</t>
        </is>
      </c>
      <c r="B792" s="2" t="inlineStr">
        <is>
          <t>U8099H</t>
        </is>
      </c>
      <c r="C792" s="2" t="inlineStr">
        <is>
          <t>50" Crystal UHD U8099H 4K Samsung Vision AI Smart TV (2026)</t>
        </is>
      </c>
      <c r="D792" s="2" t="inlineStr">
        <is>
          <t>GU50U8099HUXZG</t>
        </is>
      </c>
      <c r="E792" s="3" t="n">
        <v>50</v>
      </c>
      <c r="F792" s="3" t="n">
        <v>2026</v>
      </c>
      <c r="G792" s="4" t="n">
        <v>64.40000000000001</v>
      </c>
      <c r="H792" s="3" t="n">
        <v>200</v>
      </c>
      <c r="I792" s="3" t="n">
        <v>200</v>
      </c>
      <c r="J792" s="4" t="n"/>
      <c r="K792" s="4">
        <f>IF(ISNUMBER(J792),J792+I792/10,"")</f>
        <v/>
      </c>
      <c r="L792" s="2" t="inlineStr">
        <is>
          <t>estimat</t>
        </is>
      </c>
      <c r="M792" s="2" t="inlineStr"/>
      <c r="N792" s="2" t="inlineStr"/>
    </row>
    <row r="793">
      <c r="A793" s="2" t="inlineStr">
        <is>
          <t>Samsung</t>
        </is>
      </c>
      <c r="B793" s="2" t="inlineStr">
        <is>
          <t>U8099H</t>
        </is>
      </c>
      <c r="C793" s="2" t="inlineStr">
        <is>
          <t>43" Crystal UHD U8099H 4K Samsung Vision AI Smart TV (2026)</t>
        </is>
      </c>
      <c r="D793" s="2" t="inlineStr">
        <is>
          <t>GU43U8099HUXZG</t>
        </is>
      </c>
      <c r="E793" s="3" t="n">
        <v>43</v>
      </c>
      <c r="F793" s="3" t="n">
        <v>2026</v>
      </c>
      <c r="G793" s="4" t="n">
        <v>55.9</v>
      </c>
      <c r="H793" s="3" t="n">
        <v>200</v>
      </c>
      <c r="I793" s="3" t="n">
        <v>200</v>
      </c>
      <c r="J793" s="4" t="n"/>
      <c r="K793" s="4">
        <f>IF(ISNUMBER(J793),J793+I793/10,"")</f>
        <v/>
      </c>
      <c r="L793" s="2" t="inlineStr">
        <is>
          <t>estimat</t>
        </is>
      </c>
      <c r="M793" s="2" t="inlineStr"/>
      <c r="N793" s="2" t="inlineStr"/>
    </row>
    <row r="794">
      <c r="A794" s="2" t="inlineStr">
        <is>
          <t>Sony</t>
        </is>
      </c>
      <c r="B794" s="2" t="inlineStr">
        <is>
          <t>A80K</t>
        </is>
      </c>
      <c r="C794" s="2" t="inlineStr">
        <is>
          <t>BRAVIA XR OLED A80K</t>
        </is>
      </c>
      <c r="D794" s="2" t="inlineStr">
        <is>
          <t>XR-65A80K, XR65A80KAEP</t>
        </is>
      </c>
      <c r="E794" s="3" t="n">
        <v>65</v>
      </c>
      <c r="F794" s="3" t="n">
        <v>2022</v>
      </c>
      <c r="G794" s="4" t="n">
        <v>82.90000000000001</v>
      </c>
      <c r="H794" s="3" t="n">
        <v>300</v>
      </c>
      <c r="I794" s="3" t="n">
        <v>300</v>
      </c>
      <c r="J794" s="4" t="n">
        <v>12</v>
      </c>
      <c r="K794" s="4">
        <f>IF(ISNUMBER(J794),J794+I794/10,"")</f>
        <v/>
      </c>
      <c r="L794" s="2" t="inlineStr">
        <is>
          <t>producentens mål</t>
        </is>
      </c>
      <c r="M794" s="2" t="inlineStr">
        <is>
          <t>Sonys måltabel</t>
        </is>
      </c>
      <c r="N794" s="2" t="inlineStr">
        <is>
          <t>Sonys målside for A80K (supportartikel 00286219): skærmen er 83,6 cm høj med 41,6 cm fra overkant til de øverste VESA-huller (VESA 300×300), så det nederste hul sidder 12 cm fra underkant.</t>
        </is>
      </c>
    </row>
    <row r="795">
      <c r="A795" s="2" t="inlineStr">
        <is>
          <t>Sony</t>
        </is>
      </c>
      <c r="B795" s="2" t="inlineStr">
        <is>
          <t>A80K</t>
        </is>
      </c>
      <c r="C795" s="2" t="inlineStr">
        <is>
          <t>BRAVIA XR OLED A80K</t>
        </is>
      </c>
      <c r="D795" s="2" t="inlineStr">
        <is>
          <t>XR-55A80K, XR55A80KAEP</t>
        </is>
      </c>
      <c r="E795" s="3" t="n">
        <v>55</v>
      </c>
      <c r="F795" s="3" t="n">
        <v>2022</v>
      </c>
      <c r="G795" s="4" t="n">
        <v>70.5</v>
      </c>
      <c r="H795" s="3" t="n">
        <v>300</v>
      </c>
      <c r="I795" s="3" t="n">
        <v>300</v>
      </c>
      <c r="J795" s="4" t="n">
        <v>12</v>
      </c>
      <c r="K795" s="4">
        <f>IF(ISNUMBER(J795),J795+I795/10,"")</f>
        <v/>
      </c>
      <c r="L795" s="2" t="inlineStr">
        <is>
          <t>producentens mål</t>
        </is>
      </c>
      <c r="M795" s="2" t="inlineStr">
        <is>
          <t>Sonys måltabel</t>
        </is>
      </c>
      <c r="N795" s="2" t="inlineStr">
        <is>
          <t>Sonys målside for A80K (supportartikel 00286219): skærmen er 71,2 cm høj med 29,2 cm fra overkant til de øverste VESA-huller (VESA 300×300), så det nederste hul sidder 12 cm fra underkant.</t>
        </is>
      </c>
    </row>
    <row r="796">
      <c r="A796" s="2" t="inlineStr">
        <is>
          <t>Sony</t>
        </is>
      </c>
      <c r="B796" s="2" t="inlineStr">
        <is>
          <t>A95L</t>
        </is>
      </c>
      <c r="C796" s="2" t="inlineStr">
        <is>
          <t>BRAVIA XR OLED A95L</t>
        </is>
      </c>
      <c r="D796" s="2" t="inlineStr">
        <is>
          <t>XR-65A95L, XR65A95LAEP</t>
        </is>
      </c>
      <c r="E796" s="3" t="n">
        <v>65</v>
      </c>
      <c r="F796" s="3" t="n">
        <v>2023</v>
      </c>
      <c r="G796" s="4" t="n">
        <v>82.90000000000001</v>
      </c>
      <c r="H796" s="3" t="n">
        <v>300</v>
      </c>
      <c r="I796" s="3" t="n">
        <v>300</v>
      </c>
      <c r="J796" s="4" t="n"/>
      <c r="K796" s="4">
        <f>IF(ISNUMBER(J796),J796+I796/10,"")</f>
        <v/>
      </c>
      <c r="L796" s="2" t="inlineStr">
        <is>
          <t>estimat</t>
        </is>
      </c>
      <c r="M796" s="2" t="inlineStr"/>
      <c r="N796" s="2" t="inlineStr"/>
    </row>
    <row r="797">
      <c r="A797" s="2" t="inlineStr">
        <is>
          <t>Sony</t>
        </is>
      </c>
      <c r="B797" s="2" t="inlineStr">
        <is>
          <t>A95L</t>
        </is>
      </c>
      <c r="C797" s="2" t="inlineStr">
        <is>
          <t>BRAVIA XR OLED A95L</t>
        </is>
      </c>
      <c r="D797" s="2" t="inlineStr">
        <is>
          <t>XR-55A95L, XR55A95LAEP</t>
        </is>
      </c>
      <c r="E797" s="3" t="n">
        <v>55</v>
      </c>
      <c r="F797" s="3" t="n">
        <v>2023</v>
      </c>
      <c r="G797" s="4" t="n">
        <v>70.5</v>
      </c>
      <c r="H797" s="3" t="n">
        <v>300</v>
      </c>
      <c r="I797" s="3" t="n">
        <v>300</v>
      </c>
      <c r="J797" s="4" t="n"/>
      <c r="K797" s="4">
        <f>IF(ISNUMBER(J797),J797+I797/10,"")</f>
        <v/>
      </c>
      <c r="L797" s="2" t="inlineStr">
        <is>
          <t>estimat</t>
        </is>
      </c>
      <c r="M797" s="2" t="inlineStr"/>
      <c r="N797" s="2" t="inlineStr"/>
    </row>
    <row r="798">
      <c r="A798" s="2" t="inlineStr">
        <is>
          <t>Sony</t>
        </is>
      </c>
      <c r="B798" s="2" t="inlineStr">
        <is>
          <t>X85L</t>
        </is>
      </c>
      <c r="C798" s="2" t="inlineStr">
        <is>
          <t>BRAVIA 4K LED X85L</t>
        </is>
      </c>
      <c r="D798" s="2" t="inlineStr">
        <is>
          <t>KD-55X85L, KD55X85LAEP</t>
        </is>
      </c>
      <c r="E798" s="3" t="n">
        <v>55</v>
      </c>
      <c r="F798" s="3" t="n">
        <v>2023</v>
      </c>
      <c r="G798" s="4" t="n">
        <v>70.5</v>
      </c>
      <c r="H798" s="3" t="n">
        <v>300</v>
      </c>
      <c r="I798" s="3" t="n">
        <v>300</v>
      </c>
      <c r="J798" s="4" t="n">
        <v>28.6</v>
      </c>
      <c r="K798" s="4">
        <f>IF(ISNUMBER(J798),J798+I798/10,"")</f>
        <v/>
      </c>
      <c r="L798" s="2" t="inlineStr">
        <is>
          <t>billedmålt</t>
        </is>
      </c>
      <c r="M798" s="2" t="inlineStr">
        <is>
          <t>Which?</t>
        </is>
      </c>
      <c r="N798" s="2" t="inlineStr">
        <is>
          <t>Billedmålt på Which?-foto (sony-kd55x85l): nederste VESA-hul 28,6 cm fra underkant, målt ud fra VESA 300×300 som skala. Usikkerhed ca. ±1 cm.</t>
        </is>
      </c>
    </row>
    <row r="799">
      <c r="A799" s="2" t="inlineStr">
        <is>
          <t>Sony</t>
        </is>
      </c>
      <c r="B799" s="2" t="inlineStr">
        <is>
          <t>X90K</t>
        </is>
      </c>
      <c r="C799" s="2" t="inlineStr">
        <is>
          <t>BRAVIA XR Full Array LED X90K</t>
        </is>
      </c>
      <c r="D799" s="2" t="inlineStr">
        <is>
          <t>XR-55X90K, XR55X90KAEP</t>
        </is>
      </c>
      <c r="E799" s="3" t="n">
        <v>55</v>
      </c>
      <c r="F799" s="3" t="n">
        <v>2022</v>
      </c>
      <c r="G799" s="4" t="n">
        <v>70.5</v>
      </c>
      <c r="H799" s="3" t="n">
        <v>300</v>
      </c>
      <c r="I799" s="3" t="n">
        <v>300</v>
      </c>
      <c r="J799" s="4" t="n">
        <v>14.1</v>
      </c>
      <c r="K799" s="4">
        <f>IF(ISNUMBER(J799),J799+I799/10,"")</f>
        <v/>
      </c>
      <c r="L799" s="2" t="inlineStr">
        <is>
          <t>producentens mål</t>
        </is>
      </c>
      <c r="M799" s="2" t="inlineStr">
        <is>
          <t>Sonys måltabel</t>
        </is>
      </c>
      <c r="N799" s="2" t="inlineStr">
        <is>
          <t>Sonys målside for X90K (supportartikel 00286218): skærmen er 71,1 cm høj med 27 cm fra overkant til de øverste VESA-huller (VESA 300×300), så det nederste hul sidder 14,1 cm fra underkant.</t>
        </is>
      </c>
    </row>
    <row r="800">
      <c r="A800" s="2" t="inlineStr">
        <is>
          <t>Sony</t>
        </is>
      </c>
      <c r="B800" s="2" t="inlineStr">
        <is>
          <t>X90L</t>
        </is>
      </c>
      <c r="C800" s="2" t="inlineStr">
        <is>
          <t>BRAVIA XR Full Array LED X90L</t>
        </is>
      </c>
      <c r="D800" s="2" t="inlineStr">
        <is>
          <t>XR-75X90L, XR75X90LAEP</t>
        </is>
      </c>
      <c r="E800" s="3" t="n">
        <v>75</v>
      </c>
      <c r="F800" s="3" t="n">
        <v>2023</v>
      </c>
      <c r="G800" s="4" t="n">
        <v>95.40000000000001</v>
      </c>
      <c r="H800" s="3" t="n">
        <v>300</v>
      </c>
      <c r="I800" s="3" t="n">
        <v>300</v>
      </c>
      <c r="J800" s="4" t="n"/>
      <c r="K800" s="4">
        <f>IF(ISNUMBER(J800),J800+I800/10,"")</f>
        <v/>
      </c>
      <c r="L800" s="2" t="inlineStr">
        <is>
          <t>estimat</t>
        </is>
      </c>
      <c r="M800" s="2" t="inlineStr"/>
      <c r="N800" s="2" t="inlineStr"/>
    </row>
    <row r="801">
      <c r="A801" s="2" t="inlineStr">
        <is>
          <t>Sony</t>
        </is>
      </c>
      <c r="B801" s="2" t="inlineStr">
        <is>
          <t>X90L</t>
        </is>
      </c>
      <c r="C801" s="2" t="inlineStr">
        <is>
          <t>BRAVIA XR Full Array LED X90L</t>
        </is>
      </c>
      <c r="D801" s="2" t="inlineStr">
        <is>
          <t>XR-65X90L, XR65X90LAEP</t>
        </is>
      </c>
      <c r="E801" s="3" t="n">
        <v>65</v>
      </c>
      <c r="F801" s="3" t="n">
        <v>2023</v>
      </c>
      <c r="G801" s="4" t="n">
        <v>82.90000000000001</v>
      </c>
      <c r="H801" s="3" t="n">
        <v>300</v>
      </c>
      <c r="I801" s="3" t="n">
        <v>300</v>
      </c>
      <c r="J801" s="4" t="n"/>
      <c r="K801" s="4">
        <f>IF(ISNUMBER(J801),J801+I801/10,"")</f>
        <v/>
      </c>
      <c r="L801" s="2" t="inlineStr">
        <is>
          <t>estimat</t>
        </is>
      </c>
      <c r="M801" s="2" t="inlineStr"/>
      <c r="N801" s="2" t="inlineStr"/>
    </row>
    <row r="802">
      <c r="A802" s="2" t="inlineStr">
        <is>
          <t>Sony</t>
        </is>
      </c>
      <c r="B802" s="2" t="inlineStr">
        <is>
          <t>X90L</t>
        </is>
      </c>
      <c r="C802" s="2" t="inlineStr">
        <is>
          <t>BRAVIA XR Full Array LED X90L</t>
        </is>
      </c>
      <c r="D802" s="2" t="inlineStr">
        <is>
          <t>XR-55X90L, XR55X90LAEP</t>
        </is>
      </c>
      <c r="E802" s="3" t="n">
        <v>55</v>
      </c>
      <c r="F802" s="3" t="n">
        <v>2023</v>
      </c>
      <c r="G802" s="4" t="n">
        <v>70.5</v>
      </c>
      <c r="H802" s="3" t="n">
        <v>300</v>
      </c>
      <c r="I802" s="3" t="n">
        <v>300</v>
      </c>
      <c r="J802" s="4" t="n"/>
      <c r="K802" s="4">
        <f>IF(ISNUMBER(J802),J802+I802/10,"")</f>
        <v/>
      </c>
      <c r="L802" s="2" t="inlineStr">
        <is>
          <t>estimat</t>
        </is>
      </c>
      <c r="M802" s="2" t="inlineStr"/>
      <c r="N802" s="2" t="inlineStr"/>
    </row>
    <row r="803">
      <c r="A803" s="2" t="inlineStr">
        <is>
          <t>TCL</t>
        </is>
      </c>
      <c r="B803" s="2" t="inlineStr">
        <is>
          <t>C7K</t>
        </is>
      </c>
      <c r="C803" s="2" t="inlineStr">
        <is>
          <t>C7K (2025)</t>
        </is>
      </c>
      <c r="D803" s="2" t="inlineStr">
        <is>
          <t>65C7K</t>
        </is>
      </c>
      <c r="E803" s="3" t="n">
        <v>65</v>
      </c>
      <c r="F803" s="3" t="n">
        <v>2025</v>
      </c>
      <c r="G803" s="4" t="n">
        <v>83.2</v>
      </c>
      <c r="H803" s="3" t="n">
        <v>300</v>
      </c>
      <c r="I803" s="3" t="n">
        <v>300</v>
      </c>
      <c r="J803" s="4" t="n">
        <v>22</v>
      </c>
      <c r="K803" s="4">
        <f>IF(ISNUMBER(J803),J803+I803/10,"")</f>
        <v/>
      </c>
      <c r="L803" s="2" t="inlineStr">
        <is>
          <t>kundemålt</t>
        </is>
      </c>
      <c r="M803" s="2" t="inlineStr"/>
      <c r="N803" s="2" t="inlineStr">
        <is>
          <t>Kundemålt 13/9-2026 (huller 22 og 52 cm fra underkant).</t>
        </is>
      </c>
    </row>
  </sheetData>
  <autoFilter ref="A1:N8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95" customWidth="1" min="3" max="3"/>
    <col width="24" customWidth="1" min="4" max="4"/>
  </cols>
  <sheetData>
    <row r="1">
      <c r="A1" s="5" t="inlineStr">
        <is>
          <t>Tv-listen bag tv-højde-værktøjet</t>
        </is>
      </c>
    </row>
    <row r="2">
      <c r="A2" s="2" t="inlineStr">
        <is>
          <t>Opdateret 22/10-2026. Højde og VESA er producenternes tal. Hulplaceringen kommer fra kilderne nedenfor.</t>
        </is>
      </c>
      <c r="B2" s="2" t="n"/>
      <c r="C2" s="2" t="n"/>
      <c r="D2" s="2" t="n"/>
    </row>
    <row r="3">
      <c r="A3" s="2" t="inlineStr">
        <is>
          <t>Sådan bruges den: underkant på stander = standerens øverste hul − (position − 1) × 2,5 cm − 'Øverste hul over underkant'. Overkant = underkant + højde.</t>
        </is>
      </c>
      <c r="B3" s="2" t="n"/>
      <c r="C3" s="2" t="n"/>
      <c r="D3" s="2" t="n"/>
    </row>
    <row r="4">
      <c r="A4" s="2" t="inlineStr">
        <is>
          <t>Er kilderne uenige om VESA, gælder i denne rækkefølge: kundemåling, LG's tegning, hulmønstret på fotoet, LG's produktside, Icecat.</t>
        </is>
      </c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6" t="inlineStr">
        <is>
          <t>Kildetype</t>
        </is>
      </c>
      <c r="B6" s="6" t="inlineStr">
        <is>
          <t>Antal tv</t>
        </is>
      </c>
      <c r="C6" s="6" t="inlineStr">
        <is>
          <t>Hvad det betyder</t>
        </is>
      </c>
      <c r="D6" s="6" t="inlineStr">
        <is>
          <t>Usikkerhed</t>
        </is>
      </c>
    </row>
    <row r="7">
      <c r="A7" s="2" t="inlineStr">
        <is>
          <t>kundemålt</t>
        </is>
      </c>
      <c r="B7" s="2">
        <f>COUNTIF('Tv-listen'!$L$2:$L$803,A7)</f>
        <v/>
      </c>
      <c r="C7" s="2" t="inlineStr">
        <is>
          <t>Målt med tommestok af en kunde eller kollega.</t>
        </is>
      </c>
      <c r="D7" s="2" t="inlineStr">
        <is>
          <t>ca. ±0,5 cm (skøn)</t>
        </is>
      </c>
    </row>
    <row r="8">
      <c r="A8" s="2" t="inlineStr">
        <is>
          <t>producentens mål</t>
        </is>
      </c>
      <c r="B8" s="2">
        <f>COUNTIF('Tv-listen'!$L$2:$L$803,A8)</f>
        <v/>
      </c>
      <c r="C8" s="2" t="inlineStr">
        <is>
          <t>LG's officielle bagside-tegning (2023-modeller) og Sonys måltabeller (2022-modeller).</t>
        </is>
      </c>
      <c r="D8" s="2" t="inlineStr">
        <is>
          <t>producentens egne mm-mål</t>
        </is>
      </c>
    </row>
    <row r="9">
      <c r="A9" s="2" t="inlineStr">
        <is>
          <t>billedmålt</t>
        </is>
      </c>
      <c r="B9" s="2">
        <f>COUNTIF('Tv-listen'!$L$2:$L$803,A9)</f>
        <v/>
      </c>
      <c r="C9" s="2" t="inlineStr">
        <is>
          <t>Målt på et lige bagside-foto (Which?, LG, Icecat, MediaMarkt, Elgiganten) med VESA-hullerne som målestok.</t>
        </is>
      </c>
      <c r="D9" s="2" t="inlineStr">
        <is>
          <t>ca. ±1 cm</t>
        </is>
      </c>
    </row>
    <row r="10">
      <c r="A10" s="2" t="inlineStr">
        <is>
          <t>3D-model</t>
        </is>
      </c>
      <c r="B10" s="2">
        <f>COUNTIF('Tv-listen'!$L$2:$L$803,A10)</f>
        <v/>
      </c>
      <c r="C10" s="2" t="inlineStr">
        <is>
          <t>Målt på Samsungs egen 3D-model af tv'et fra samsung.com.</t>
        </is>
      </c>
      <c r="D10" s="2" t="inlineStr">
        <is>
          <t>ca. ±1,5 cm</t>
        </is>
      </c>
    </row>
    <row r="11">
      <c r="A11" s="2" t="inlineStr">
        <is>
          <t>samme bagside</t>
        </is>
      </c>
      <c r="B11" s="2">
        <f>COUNTIF('Tv-listen'!$L$2:$L$803,A11)</f>
        <v/>
      </c>
      <c r="C11" s="2" t="inlineStr">
        <is>
          <t>Regional variant af et målt tv: samme serie, årgang, størrelse og VESA.</t>
        </is>
      </c>
      <c r="D11" s="2" t="inlineStr">
        <is>
          <t>som det målte tv</t>
        </is>
      </c>
    </row>
    <row r="12">
      <c r="A12" s="2" t="inlineStr">
        <is>
          <t>reference</t>
        </is>
      </c>
      <c r="B12" s="2">
        <f>COUNTIF('Tv-listen'!$L$2:$L$803,A12)</f>
        <v/>
      </c>
      <c r="C12" s="2" t="inlineStr">
        <is>
          <t>Fra Equals' måltabel.</t>
        </is>
      </c>
      <c r="D12" s="2" t="inlineStr">
        <is>
          <t>ca. ±1 cm</t>
        </is>
      </c>
    </row>
    <row r="13">
      <c r="A13" s="2" t="inlineStr">
        <is>
          <t>estimat</t>
        </is>
      </c>
      <c r="B13" s="2">
        <f>COUNTIF('Tv-listen'!$L$2:$L$803,A13)</f>
        <v/>
      </c>
      <c r="C13" s="2" t="inlineStr">
        <is>
          <t>Ingen målt placering. Værktøjet estimerer ud fra mærke.</t>
        </is>
      </c>
      <c r="D13" s="2" t="inlineStr">
        <is>
          <t>op til 10 cm</t>
        </is>
      </c>
    </row>
    <row r="14">
      <c r="A14" s="7" t="inlineStr">
        <is>
          <t>I alt</t>
        </is>
      </c>
      <c r="B14" s="7">
        <f>SUM(B7:B13)</f>
        <v/>
      </c>
      <c r="C14" s="2" t="inlineStr">
        <is>
          <t>Tv-listen har 802 rækker.</t>
        </is>
      </c>
      <c r="D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2026-10-22T09:27:25Z</dcterms:created>
  <dcterms:modified xsi:type="dcterms:W3CDTF">2026-10-22T09:27:26Z</dcterms:modified>
</cp:coreProperties>
</file>